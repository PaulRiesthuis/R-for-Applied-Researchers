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defaultThemeVersion="166925"/>
  <mc:AlternateContent xmlns:mc="http://schemas.openxmlformats.org/markup-compatibility/2006">
    <mc:Choice Requires="x15">
      <x15ac:absPath xmlns:x15ac="http://schemas.microsoft.com/office/spreadsheetml/2010/11/ac" url="C:\Users\u0134553\OneDrive - KU Leuven\Documents\PhD KU Leuven\Paul Riesthuis Papers\Accepted_Registered Reports\Dice Rolling Experiment\Stage 2 Data Analysis\Final Data Analysis\"/>
    </mc:Choice>
  </mc:AlternateContent>
  <xr:revisionPtr revIDLastSave="12" documentId="8_{36E1FA72-D883-4935-BD1E-145468966F57}" xr6:coauthVersionLast="36" xr6:coauthVersionMax="36" xr10:uidLastSave="{5DC4A4CE-46D1-482B-A96E-5ABCD3A0E962}"/>
  <bookViews>
    <workbookView xWindow="0" yWindow="0" windowWidth="24720" windowHeight="11625" xr2:uid="{00000000-000D-0000-FFFF-FFFF00000000}"/>
  </bookViews>
  <sheets>
    <sheet name="Sheet0" sheetId="1" r:id="rId1"/>
  </sheets>
  <definedNames>
    <definedName name="_xlnm._FilterDatabase" localSheetId="0" hidden="1">Sheet0!$A$2:$AF$245</definedName>
  </definedNames>
  <calcPr calcId="191029"/>
</workbook>
</file>

<file path=xl/calcChain.xml><?xml version="1.0" encoding="utf-8"?>
<calcChain xmlns="http://schemas.openxmlformats.org/spreadsheetml/2006/main">
  <c r="AM244" i="1" l="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M5" i="1"/>
  <c r="AM4" i="1"/>
  <c r="AM3" i="1"/>
  <c r="BP244" i="1" l="1"/>
  <c r="BP243" i="1"/>
  <c r="BP242" i="1"/>
  <c r="BP241" i="1"/>
  <c r="BP240" i="1"/>
  <c r="BP239" i="1"/>
  <c r="BP238" i="1"/>
  <c r="BP237" i="1"/>
  <c r="BP236" i="1"/>
  <c r="BP235" i="1"/>
  <c r="BP234" i="1"/>
  <c r="BP233" i="1"/>
  <c r="BP232" i="1"/>
  <c r="BP231" i="1"/>
  <c r="BP230" i="1"/>
  <c r="BP229" i="1"/>
  <c r="BP228" i="1"/>
  <c r="BP227" i="1"/>
  <c r="BP226" i="1"/>
  <c r="BP225" i="1"/>
  <c r="BP224" i="1"/>
  <c r="BP223" i="1"/>
  <c r="BP222" i="1"/>
  <c r="BP221" i="1"/>
  <c r="BP220" i="1"/>
  <c r="BP219" i="1"/>
  <c r="BP218" i="1"/>
  <c r="BP217" i="1"/>
  <c r="BP216" i="1"/>
  <c r="BP215" i="1"/>
  <c r="BP214" i="1"/>
  <c r="BP213" i="1"/>
  <c r="BP212" i="1"/>
  <c r="BP211" i="1"/>
  <c r="BP210" i="1"/>
  <c r="BP209" i="1"/>
  <c r="BP208" i="1"/>
  <c r="BP207" i="1"/>
  <c r="BP206" i="1"/>
  <c r="BP205" i="1"/>
  <c r="BP204" i="1"/>
  <c r="BP203" i="1"/>
  <c r="BP202" i="1"/>
  <c r="BP201" i="1"/>
  <c r="BP200" i="1"/>
  <c r="BP199" i="1"/>
  <c r="BP198" i="1"/>
  <c r="BP197" i="1"/>
  <c r="BP196" i="1"/>
  <c r="BP195" i="1"/>
  <c r="BP194" i="1"/>
  <c r="BP193" i="1"/>
  <c r="BP192" i="1"/>
  <c r="BP191" i="1"/>
  <c r="BP190" i="1"/>
  <c r="BP189" i="1"/>
  <c r="BP188" i="1"/>
  <c r="BP187" i="1"/>
  <c r="BP186" i="1"/>
  <c r="BP185" i="1"/>
  <c r="BP184" i="1"/>
  <c r="BP183" i="1"/>
  <c r="BP182" i="1"/>
  <c r="BP181" i="1"/>
  <c r="BP180" i="1"/>
  <c r="BP179" i="1"/>
  <c r="BP178" i="1"/>
  <c r="BP177" i="1"/>
  <c r="BP176" i="1"/>
  <c r="BP175" i="1"/>
  <c r="BP174" i="1"/>
  <c r="BP173" i="1"/>
  <c r="BP172" i="1"/>
  <c r="BP171" i="1"/>
  <c r="BP170" i="1"/>
  <c r="BP169" i="1"/>
  <c r="BP168" i="1"/>
  <c r="BP167" i="1"/>
  <c r="BP166" i="1"/>
  <c r="BP165" i="1"/>
  <c r="BP164" i="1"/>
  <c r="BP163" i="1"/>
  <c r="BP162" i="1"/>
  <c r="BP161" i="1"/>
  <c r="BP160" i="1"/>
  <c r="BP159" i="1"/>
  <c r="BP158" i="1"/>
  <c r="BP157" i="1"/>
  <c r="BP156" i="1"/>
  <c r="BP155" i="1"/>
  <c r="BP154" i="1"/>
  <c r="BP153" i="1"/>
  <c r="BP152" i="1"/>
  <c r="BP151" i="1"/>
  <c r="BP150" i="1"/>
  <c r="BP149" i="1"/>
  <c r="BP148" i="1"/>
  <c r="BP147" i="1"/>
  <c r="BP146" i="1"/>
  <c r="BP145" i="1"/>
  <c r="BP144" i="1"/>
  <c r="BP143" i="1"/>
  <c r="BP142" i="1"/>
  <c r="BP141" i="1"/>
  <c r="BP140" i="1"/>
  <c r="BP139" i="1"/>
  <c r="BP138" i="1"/>
  <c r="BP137" i="1"/>
  <c r="BP136" i="1"/>
  <c r="BP135" i="1"/>
  <c r="BP134" i="1"/>
  <c r="BP133" i="1"/>
  <c r="BP132" i="1"/>
  <c r="BP131" i="1"/>
  <c r="BP130" i="1"/>
  <c r="BP129" i="1"/>
  <c r="BP128" i="1"/>
  <c r="BP127" i="1"/>
  <c r="BP126" i="1"/>
  <c r="BP125" i="1"/>
  <c r="BP124" i="1"/>
  <c r="BP123" i="1"/>
  <c r="BP122" i="1"/>
  <c r="BP121" i="1"/>
  <c r="BP120" i="1"/>
  <c r="BP119" i="1"/>
  <c r="BP118" i="1"/>
  <c r="BP117" i="1"/>
  <c r="BP116" i="1"/>
  <c r="BP115" i="1"/>
  <c r="BP114" i="1"/>
  <c r="BP113" i="1"/>
  <c r="BP112" i="1"/>
  <c r="BP111" i="1"/>
  <c r="BP110" i="1"/>
  <c r="BP109" i="1"/>
  <c r="BP108" i="1"/>
  <c r="BP107" i="1"/>
  <c r="BP106" i="1"/>
  <c r="BP105" i="1"/>
  <c r="BP104" i="1"/>
  <c r="BP103" i="1"/>
  <c r="BP102" i="1"/>
  <c r="BP101" i="1"/>
  <c r="BP100" i="1"/>
  <c r="BP99" i="1"/>
  <c r="BP98" i="1"/>
  <c r="BP97" i="1"/>
  <c r="BP96" i="1"/>
  <c r="BP95" i="1"/>
  <c r="BP94" i="1"/>
  <c r="BP93" i="1"/>
  <c r="BP92" i="1"/>
  <c r="BP91" i="1"/>
  <c r="BP90" i="1"/>
  <c r="BP89" i="1"/>
  <c r="BP88" i="1"/>
  <c r="BP87" i="1"/>
  <c r="BP86" i="1"/>
  <c r="BP85" i="1"/>
  <c r="BP84" i="1"/>
  <c r="BP83" i="1"/>
  <c r="BP82" i="1"/>
  <c r="BP81" i="1"/>
  <c r="BP80" i="1"/>
  <c r="BP79" i="1"/>
  <c r="BP78" i="1"/>
  <c r="BP77" i="1"/>
  <c r="BP76" i="1"/>
  <c r="BP75" i="1"/>
  <c r="BP74" i="1"/>
  <c r="BP73" i="1"/>
  <c r="BP72" i="1"/>
  <c r="BP71" i="1"/>
  <c r="BP70" i="1"/>
  <c r="BP69" i="1"/>
  <c r="BP68" i="1"/>
  <c r="BP67" i="1"/>
  <c r="BP66" i="1"/>
  <c r="BP65" i="1"/>
  <c r="BP64" i="1"/>
  <c r="BP63" i="1"/>
  <c r="BP62" i="1"/>
  <c r="BP61" i="1"/>
  <c r="BP60" i="1"/>
  <c r="BP59" i="1"/>
  <c r="BP58" i="1"/>
  <c r="BP57" i="1"/>
  <c r="BP56" i="1"/>
  <c r="BP55" i="1"/>
  <c r="BP54" i="1"/>
  <c r="BP53" i="1"/>
  <c r="BP52" i="1"/>
  <c r="BP51" i="1"/>
  <c r="BP50" i="1"/>
  <c r="BP49" i="1"/>
  <c r="BP48" i="1"/>
  <c r="BP47" i="1"/>
  <c r="BP46" i="1"/>
  <c r="BP45" i="1"/>
  <c r="BP44" i="1"/>
  <c r="BP43" i="1"/>
  <c r="BP42" i="1"/>
  <c r="BP41" i="1"/>
  <c r="BP40" i="1"/>
  <c r="BP39" i="1"/>
  <c r="BP38" i="1"/>
  <c r="BP37" i="1"/>
  <c r="BP36" i="1"/>
  <c r="BP35" i="1"/>
  <c r="BP34" i="1"/>
  <c r="BP33" i="1"/>
  <c r="BP32" i="1"/>
  <c r="BP31" i="1"/>
  <c r="BP30" i="1"/>
  <c r="BP29" i="1"/>
  <c r="BP28" i="1"/>
  <c r="BP27" i="1"/>
  <c r="BP26" i="1"/>
  <c r="BP25" i="1"/>
  <c r="BP24" i="1"/>
  <c r="BP23" i="1"/>
  <c r="BP22" i="1"/>
  <c r="BP21" i="1"/>
  <c r="BP20" i="1"/>
  <c r="BP19" i="1"/>
  <c r="BP18" i="1"/>
  <c r="BP17" i="1"/>
  <c r="BP16" i="1"/>
  <c r="BP15" i="1"/>
  <c r="BP14" i="1"/>
  <c r="BP13" i="1"/>
  <c r="BP12" i="1"/>
  <c r="BP11" i="1"/>
  <c r="BP10" i="1"/>
  <c r="BP9" i="1"/>
  <c r="BP8" i="1"/>
  <c r="BP7" i="1"/>
  <c r="BP6" i="1"/>
  <c r="BP5" i="1"/>
  <c r="BP4" i="1"/>
  <c r="BP3" i="1"/>
  <c r="BF244" i="1"/>
  <c r="BF243" i="1"/>
  <c r="BF242" i="1"/>
  <c r="BF241" i="1"/>
  <c r="BF240" i="1"/>
  <c r="BF239" i="1"/>
  <c r="BF238" i="1"/>
  <c r="BF237" i="1"/>
  <c r="BF236" i="1"/>
  <c r="BF235" i="1"/>
  <c r="BF234" i="1"/>
  <c r="BF233" i="1"/>
  <c r="BF232" i="1"/>
  <c r="BF231" i="1"/>
  <c r="BF230" i="1"/>
  <c r="BF229" i="1"/>
  <c r="BF228" i="1"/>
  <c r="BF227" i="1"/>
  <c r="BF226" i="1"/>
  <c r="BF225" i="1"/>
  <c r="BF224" i="1"/>
  <c r="BF223" i="1"/>
  <c r="BF222" i="1"/>
  <c r="BF221" i="1"/>
  <c r="BF220" i="1"/>
  <c r="BF219" i="1"/>
  <c r="BF218" i="1"/>
  <c r="BF217" i="1"/>
  <c r="BF216" i="1"/>
  <c r="BF215" i="1"/>
  <c r="BF214" i="1"/>
  <c r="BF213" i="1"/>
  <c r="BF212" i="1"/>
  <c r="BF211" i="1"/>
  <c r="BF210" i="1"/>
  <c r="BF209" i="1"/>
  <c r="BF208" i="1"/>
  <c r="BF207" i="1"/>
  <c r="BF206" i="1"/>
  <c r="BF205" i="1"/>
  <c r="BF204" i="1"/>
  <c r="BF203" i="1"/>
  <c r="BF202" i="1"/>
  <c r="BF201" i="1"/>
  <c r="BF200" i="1"/>
  <c r="BF199" i="1"/>
  <c r="BF198" i="1"/>
  <c r="BF197" i="1"/>
  <c r="BF196" i="1"/>
  <c r="BF195" i="1"/>
  <c r="BF194" i="1"/>
  <c r="BF193" i="1"/>
  <c r="BF192" i="1"/>
  <c r="BF191" i="1"/>
  <c r="BF190" i="1"/>
  <c r="BF189" i="1"/>
  <c r="BF188" i="1"/>
  <c r="BF187" i="1"/>
  <c r="BF186" i="1"/>
  <c r="BF185" i="1"/>
  <c r="BF184" i="1"/>
  <c r="BF183" i="1"/>
  <c r="BF182" i="1"/>
  <c r="BF181" i="1"/>
  <c r="BF180" i="1"/>
  <c r="BF179" i="1"/>
  <c r="BF178" i="1"/>
  <c r="BF177" i="1"/>
  <c r="BF176" i="1"/>
  <c r="BF175" i="1"/>
  <c r="BF174" i="1"/>
  <c r="BF173" i="1"/>
  <c r="BF172" i="1"/>
  <c r="BF171" i="1"/>
  <c r="BF170" i="1"/>
  <c r="BF169" i="1"/>
  <c r="BF168" i="1"/>
  <c r="BF167" i="1"/>
  <c r="BF166" i="1"/>
  <c r="BF165" i="1"/>
  <c r="BF164" i="1"/>
  <c r="BF163" i="1"/>
  <c r="BF162" i="1"/>
  <c r="BF161" i="1"/>
  <c r="BF160" i="1"/>
  <c r="BF159" i="1"/>
  <c r="BF158" i="1"/>
  <c r="BF157" i="1"/>
  <c r="BF156" i="1"/>
  <c r="BF155" i="1"/>
  <c r="BF154" i="1"/>
  <c r="BF153" i="1"/>
  <c r="BF152" i="1"/>
  <c r="BF151" i="1"/>
  <c r="BF150" i="1"/>
  <c r="BF149" i="1"/>
  <c r="BF148" i="1"/>
  <c r="BF147" i="1"/>
  <c r="BF146" i="1"/>
  <c r="BF145" i="1"/>
  <c r="BF144" i="1"/>
  <c r="BF143" i="1"/>
  <c r="BF142" i="1"/>
  <c r="BF141" i="1"/>
  <c r="BF140" i="1"/>
  <c r="BF139" i="1"/>
  <c r="BF138" i="1"/>
  <c r="BF137" i="1"/>
  <c r="BF136" i="1"/>
  <c r="BF135" i="1"/>
  <c r="BF134" i="1"/>
  <c r="BF133" i="1"/>
  <c r="BF132" i="1"/>
  <c r="BF131" i="1"/>
  <c r="BF130" i="1"/>
  <c r="BF129" i="1"/>
  <c r="BF128" i="1"/>
  <c r="BF127" i="1"/>
  <c r="BF126" i="1"/>
  <c r="BF125" i="1"/>
  <c r="BF124" i="1"/>
  <c r="BF123" i="1"/>
  <c r="BF122" i="1"/>
  <c r="BF121" i="1"/>
  <c r="BF120" i="1"/>
  <c r="BF119" i="1"/>
  <c r="BF118" i="1"/>
  <c r="BF117" i="1"/>
  <c r="BF116" i="1"/>
  <c r="BF115" i="1"/>
  <c r="BF114" i="1"/>
  <c r="BF113" i="1"/>
  <c r="BF112" i="1"/>
  <c r="BF111" i="1"/>
  <c r="BF110" i="1"/>
  <c r="BF109" i="1"/>
  <c r="BF108" i="1"/>
  <c r="BF107" i="1"/>
  <c r="BF106" i="1"/>
  <c r="BF105" i="1"/>
  <c r="BF104" i="1"/>
  <c r="BF103" i="1"/>
  <c r="BF102" i="1"/>
  <c r="BF101" i="1"/>
  <c r="BF100" i="1"/>
  <c r="BF99" i="1"/>
  <c r="BF98" i="1"/>
  <c r="BF97" i="1"/>
  <c r="BF96" i="1"/>
  <c r="BF95" i="1"/>
  <c r="BF94" i="1"/>
  <c r="BF93" i="1"/>
  <c r="BF92" i="1"/>
  <c r="BF91" i="1"/>
  <c r="BF90" i="1"/>
  <c r="BF89" i="1"/>
  <c r="BF88" i="1"/>
  <c r="BF87" i="1"/>
  <c r="BF86" i="1"/>
  <c r="BF85" i="1"/>
  <c r="BF84" i="1"/>
  <c r="BF83" i="1"/>
  <c r="BF82" i="1"/>
  <c r="BF81" i="1"/>
  <c r="BF80" i="1"/>
  <c r="BF79" i="1"/>
  <c r="BF78" i="1"/>
  <c r="BF77" i="1"/>
  <c r="BF76" i="1"/>
  <c r="BF75" i="1"/>
  <c r="BF74" i="1"/>
  <c r="BF73" i="1"/>
  <c r="BF72" i="1"/>
  <c r="BF71" i="1"/>
  <c r="BF70" i="1"/>
  <c r="BF69" i="1"/>
  <c r="BF68" i="1"/>
  <c r="BF67" i="1"/>
  <c r="BF66" i="1"/>
  <c r="BF65" i="1"/>
  <c r="BF64" i="1"/>
  <c r="BF63" i="1"/>
  <c r="BF62" i="1"/>
  <c r="BF61" i="1"/>
  <c r="BF60" i="1"/>
  <c r="BF59" i="1"/>
  <c r="BF58" i="1"/>
  <c r="BF57" i="1"/>
  <c r="BF56" i="1"/>
  <c r="BF55" i="1"/>
  <c r="BF54" i="1"/>
  <c r="BF53" i="1"/>
  <c r="BF52" i="1"/>
  <c r="BF51" i="1"/>
  <c r="BF50" i="1"/>
  <c r="BF49" i="1"/>
  <c r="BF48" i="1"/>
  <c r="BF47" i="1"/>
  <c r="BF46" i="1"/>
  <c r="BF45" i="1"/>
  <c r="BF44" i="1"/>
  <c r="BF43" i="1"/>
  <c r="BF42" i="1"/>
  <c r="BF41" i="1"/>
  <c r="BF40" i="1"/>
  <c r="BF39" i="1"/>
  <c r="BF38" i="1"/>
  <c r="BF37" i="1"/>
  <c r="BF36" i="1"/>
  <c r="BF35" i="1"/>
  <c r="BF34" i="1"/>
  <c r="BF33" i="1"/>
  <c r="BF32" i="1"/>
  <c r="BF31" i="1"/>
  <c r="BF30" i="1"/>
  <c r="BF29" i="1"/>
  <c r="BF28" i="1"/>
  <c r="BF27" i="1"/>
  <c r="BF26" i="1"/>
  <c r="BF25" i="1"/>
  <c r="BF24" i="1"/>
  <c r="BF23" i="1"/>
  <c r="BF22" i="1"/>
  <c r="BF21" i="1"/>
  <c r="BF20" i="1"/>
  <c r="BF19" i="1"/>
  <c r="BF18" i="1"/>
  <c r="BF17" i="1"/>
  <c r="BF16" i="1"/>
  <c r="BF15" i="1"/>
  <c r="BF14" i="1"/>
  <c r="BF13" i="1"/>
  <c r="BF12" i="1"/>
  <c r="BF11" i="1"/>
  <c r="BF10" i="1"/>
  <c r="BF9" i="1"/>
  <c r="BF8" i="1"/>
  <c r="BF7" i="1"/>
  <c r="BF6" i="1"/>
  <c r="BF5" i="1"/>
  <c r="BF4" i="1"/>
  <c r="BF3" i="1"/>
  <c r="BO244" i="1" l="1"/>
  <c r="BQ244" i="1" s="1"/>
  <c r="BO243" i="1"/>
  <c r="BQ243" i="1" s="1"/>
  <c r="BO242" i="1"/>
  <c r="BQ242" i="1" s="1"/>
  <c r="BO241" i="1"/>
  <c r="BQ241" i="1" s="1"/>
  <c r="BO240" i="1"/>
  <c r="BQ240" i="1" s="1"/>
  <c r="BO239" i="1"/>
  <c r="BQ239" i="1" s="1"/>
  <c r="BO238" i="1"/>
  <c r="BQ238" i="1" s="1"/>
  <c r="BO237" i="1"/>
  <c r="BQ237" i="1" s="1"/>
  <c r="BO236" i="1"/>
  <c r="BQ236" i="1" s="1"/>
  <c r="BO235" i="1"/>
  <c r="BQ235" i="1" s="1"/>
  <c r="BO234" i="1"/>
  <c r="BQ234" i="1" s="1"/>
  <c r="BO233" i="1"/>
  <c r="BQ233" i="1" s="1"/>
  <c r="BO232" i="1"/>
  <c r="BQ232" i="1" s="1"/>
  <c r="BO231" i="1"/>
  <c r="BQ231" i="1" s="1"/>
  <c r="BO230" i="1"/>
  <c r="BQ230" i="1" s="1"/>
  <c r="BO229" i="1"/>
  <c r="BQ229" i="1" s="1"/>
  <c r="BO228" i="1"/>
  <c r="BQ228" i="1" s="1"/>
  <c r="BO227" i="1"/>
  <c r="BQ227" i="1" s="1"/>
  <c r="BO226" i="1"/>
  <c r="BQ226" i="1" s="1"/>
  <c r="BO225" i="1"/>
  <c r="BQ225" i="1" s="1"/>
  <c r="BO224" i="1"/>
  <c r="BQ224" i="1" s="1"/>
  <c r="BO223" i="1"/>
  <c r="BQ223" i="1" s="1"/>
  <c r="BO222" i="1"/>
  <c r="BQ222" i="1" s="1"/>
  <c r="BO221" i="1"/>
  <c r="BQ221" i="1" s="1"/>
  <c r="BO220" i="1"/>
  <c r="BQ220" i="1" s="1"/>
  <c r="BO219" i="1"/>
  <c r="BQ219" i="1" s="1"/>
  <c r="BO218" i="1"/>
  <c r="BQ218" i="1" s="1"/>
  <c r="BO217" i="1"/>
  <c r="BQ217" i="1" s="1"/>
  <c r="BO216" i="1"/>
  <c r="BQ216" i="1" s="1"/>
  <c r="BO215" i="1"/>
  <c r="BQ215" i="1" s="1"/>
  <c r="BO214" i="1"/>
  <c r="BQ214" i="1" s="1"/>
  <c r="BO213" i="1"/>
  <c r="BQ213" i="1" s="1"/>
  <c r="BO212" i="1"/>
  <c r="BQ212" i="1" s="1"/>
  <c r="BO211" i="1"/>
  <c r="BQ211" i="1" s="1"/>
  <c r="BO210" i="1"/>
  <c r="BQ210" i="1" s="1"/>
  <c r="BO209" i="1"/>
  <c r="BQ209" i="1" s="1"/>
  <c r="BO208" i="1"/>
  <c r="BQ208" i="1" s="1"/>
  <c r="BO207" i="1"/>
  <c r="BQ207" i="1" s="1"/>
  <c r="BO206" i="1"/>
  <c r="BQ206" i="1" s="1"/>
  <c r="BO205" i="1"/>
  <c r="BQ205" i="1" s="1"/>
  <c r="BO204" i="1"/>
  <c r="BQ204" i="1" s="1"/>
  <c r="BO203" i="1"/>
  <c r="BQ203" i="1" s="1"/>
  <c r="BO202" i="1"/>
  <c r="BQ202" i="1" s="1"/>
  <c r="BO201" i="1"/>
  <c r="BQ201" i="1" s="1"/>
  <c r="BO200" i="1"/>
  <c r="BQ200" i="1" s="1"/>
  <c r="BO199" i="1"/>
  <c r="BQ199" i="1" s="1"/>
  <c r="BO198" i="1"/>
  <c r="BQ198" i="1" s="1"/>
  <c r="BO197" i="1"/>
  <c r="BQ197" i="1" s="1"/>
  <c r="BO196" i="1"/>
  <c r="BQ196" i="1" s="1"/>
  <c r="BO195" i="1"/>
  <c r="BQ195" i="1" s="1"/>
  <c r="BO194" i="1"/>
  <c r="BQ194" i="1" s="1"/>
  <c r="BO193" i="1"/>
  <c r="BQ193" i="1" s="1"/>
  <c r="BO192" i="1"/>
  <c r="BQ192" i="1" s="1"/>
  <c r="BO191" i="1"/>
  <c r="BQ191" i="1" s="1"/>
  <c r="BO190" i="1"/>
  <c r="BQ190" i="1" s="1"/>
  <c r="BO189" i="1"/>
  <c r="BQ189" i="1" s="1"/>
  <c r="BO188" i="1"/>
  <c r="BQ188" i="1" s="1"/>
  <c r="BO187" i="1"/>
  <c r="BQ187" i="1" s="1"/>
  <c r="BO186" i="1"/>
  <c r="BQ186" i="1" s="1"/>
  <c r="BO185" i="1"/>
  <c r="BQ185" i="1" s="1"/>
  <c r="BO184" i="1"/>
  <c r="BQ184" i="1" s="1"/>
  <c r="BO183" i="1"/>
  <c r="BQ183" i="1" s="1"/>
  <c r="BO182" i="1"/>
  <c r="BQ182" i="1" s="1"/>
  <c r="BO181" i="1"/>
  <c r="BQ181" i="1" s="1"/>
  <c r="BO180" i="1"/>
  <c r="BQ180" i="1" s="1"/>
  <c r="BO179" i="1"/>
  <c r="BQ179" i="1" s="1"/>
  <c r="BO178" i="1"/>
  <c r="BQ178" i="1" s="1"/>
  <c r="BO177" i="1"/>
  <c r="BQ177" i="1" s="1"/>
  <c r="BO176" i="1"/>
  <c r="BQ176" i="1" s="1"/>
  <c r="BO175" i="1"/>
  <c r="BQ175" i="1" s="1"/>
  <c r="BO174" i="1"/>
  <c r="BQ174" i="1" s="1"/>
  <c r="BO173" i="1"/>
  <c r="BQ173" i="1" s="1"/>
  <c r="BO172" i="1"/>
  <c r="BQ172" i="1" s="1"/>
  <c r="BO171" i="1"/>
  <c r="BQ171" i="1" s="1"/>
  <c r="BO170" i="1"/>
  <c r="BQ170" i="1" s="1"/>
  <c r="BO169" i="1"/>
  <c r="BQ169" i="1" s="1"/>
  <c r="BO168" i="1"/>
  <c r="BQ168" i="1" s="1"/>
  <c r="BO167" i="1"/>
  <c r="BQ167" i="1" s="1"/>
  <c r="BO166" i="1"/>
  <c r="BQ166" i="1" s="1"/>
  <c r="BO165" i="1"/>
  <c r="BQ165" i="1" s="1"/>
  <c r="BO164" i="1"/>
  <c r="BQ164" i="1" s="1"/>
  <c r="BO163" i="1"/>
  <c r="BQ163" i="1" s="1"/>
  <c r="BO162" i="1"/>
  <c r="BQ162" i="1" s="1"/>
  <c r="BO161" i="1"/>
  <c r="BQ161" i="1" s="1"/>
  <c r="BO160" i="1"/>
  <c r="BQ160" i="1" s="1"/>
  <c r="BO159" i="1"/>
  <c r="BQ159" i="1" s="1"/>
  <c r="BO158" i="1"/>
  <c r="BQ158" i="1" s="1"/>
  <c r="BO157" i="1"/>
  <c r="BQ157" i="1" s="1"/>
  <c r="BO156" i="1"/>
  <c r="BQ156" i="1" s="1"/>
  <c r="BO155" i="1"/>
  <c r="BQ155" i="1" s="1"/>
  <c r="BO154" i="1"/>
  <c r="BQ154" i="1" s="1"/>
  <c r="BO153" i="1"/>
  <c r="BQ153" i="1" s="1"/>
  <c r="BO152" i="1"/>
  <c r="BQ152" i="1" s="1"/>
  <c r="BO151" i="1"/>
  <c r="BQ151" i="1" s="1"/>
  <c r="BO150" i="1"/>
  <c r="BQ150" i="1" s="1"/>
  <c r="BO149" i="1"/>
  <c r="BQ149" i="1" s="1"/>
  <c r="BO148" i="1"/>
  <c r="BQ148" i="1" s="1"/>
  <c r="BO147" i="1"/>
  <c r="BQ147" i="1" s="1"/>
  <c r="BO146" i="1"/>
  <c r="BQ146" i="1" s="1"/>
  <c r="BO145" i="1"/>
  <c r="BQ145" i="1" s="1"/>
  <c r="BO144" i="1"/>
  <c r="BQ144" i="1" s="1"/>
  <c r="BO143" i="1"/>
  <c r="BQ143" i="1" s="1"/>
  <c r="BO142" i="1"/>
  <c r="BQ142" i="1" s="1"/>
  <c r="BO141" i="1"/>
  <c r="BQ141" i="1" s="1"/>
  <c r="BO140" i="1"/>
  <c r="BQ140" i="1" s="1"/>
  <c r="BO139" i="1"/>
  <c r="BQ139" i="1" s="1"/>
  <c r="BO138" i="1"/>
  <c r="BQ138" i="1" s="1"/>
  <c r="BO137" i="1"/>
  <c r="BQ137" i="1" s="1"/>
  <c r="BO136" i="1"/>
  <c r="BQ136" i="1" s="1"/>
  <c r="BO135" i="1"/>
  <c r="BQ135" i="1" s="1"/>
  <c r="BO134" i="1"/>
  <c r="BQ134" i="1" s="1"/>
  <c r="BO133" i="1"/>
  <c r="BQ133" i="1" s="1"/>
  <c r="BO132" i="1"/>
  <c r="BQ132" i="1" s="1"/>
  <c r="BO131" i="1"/>
  <c r="BQ131" i="1" s="1"/>
  <c r="BO130" i="1"/>
  <c r="BQ130" i="1" s="1"/>
  <c r="BO129" i="1"/>
  <c r="BQ129" i="1" s="1"/>
  <c r="BO128" i="1"/>
  <c r="BQ128" i="1" s="1"/>
  <c r="BO127" i="1"/>
  <c r="BQ127" i="1" s="1"/>
  <c r="BO126" i="1"/>
  <c r="BQ126" i="1" s="1"/>
  <c r="BO125" i="1"/>
  <c r="BQ125" i="1" s="1"/>
  <c r="BO124" i="1"/>
  <c r="BQ124" i="1" s="1"/>
  <c r="BO123" i="1"/>
  <c r="BQ123" i="1" s="1"/>
  <c r="BO122" i="1"/>
  <c r="BQ122" i="1" s="1"/>
  <c r="BO121" i="1"/>
  <c r="BQ121" i="1" s="1"/>
  <c r="BO120" i="1"/>
  <c r="BQ120" i="1" s="1"/>
  <c r="BO119" i="1"/>
  <c r="BQ119" i="1" s="1"/>
  <c r="BO118" i="1"/>
  <c r="BQ118" i="1" s="1"/>
  <c r="BO117" i="1"/>
  <c r="BQ117" i="1" s="1"/>
  <c r="BO116" i="1"/>
  <c r="BQ116" i="1" s="1"/>
  <c r="BO115" i="1"/>
  <c r="BQ115" i="1" s="1"/>
  <c r="BO114" i="1"/>
  <c r="BQ114" i="1" s="1"/>
  <c r="BO113" i="1"/>
  <c r="BQ113" i="1" s="1"/>
  <c r="BO112" i="1"/>
  <c r="BQ112" i="1" s="1"/>
  <c r="BO111" i="1"/>
  <c r="BQ111" i="1" s="1"/>
  <c r="BO110" i="1"/>
  <c r="BQ110" i="1" s="1"/>
  <c r="BO109" i="1"/>
  <c r="BQ109" i="1" s="1"/>
  <c r="BO108" i="1"/>
  <c r="BQ108" i="1" s="1"/>
  <c r="BO107" i="1"/>
  <c r="BQ107" i="1" s="1"/>
  <c r="BO106" i="1"/>
  <c r="BQ106" i="1" s="1"/>
  <c r="BO105" i="1"/>
  <c r="BQ105" i="1" s="1"/>
  <c r="BO104" i="1"/>
  <c r="BQ104" i="1" s="1"/>
  <c r="BO103" i="1"/>
  <c r="BQ103" i="1" s="1"/>
  <c r="BO102" i="1"/>
  <c r="BQ102" i="1" s="1"/>
  <c r="BO101" i="1"/>
  <c r="BQ101" i="1" s="1"/>
  <c r="BO100" i="1"/>
  <c r="BQ100" i="1" s="1"/>
  <c r="BO99" i="1"/>
  <c r="BQ99" i="1" s="1"/>
  <c r="BO98" i="1"/>
  <c r="BQ98" i="1" s="1"/>
  <c r="BO97" i="1"/>
  <c r="BQ97" i="1" s="1"/>
  <c r="BO96" i="1"/>
  <c r="BQ96" i="1" s="1"/>
  <c r="BO95" i="1"/>
  <c r="BQ95" i="1" s="1"/>
  <c r="BO94" i="1"/>
  <c r="BQ94" i="1" s="1"/>
  <c r="BO93" i="1"/>
  <c r="BQ93" i="1" s="1"/>
  <c r="BO92" i="1"/>
  <c r="BQ92" i="1" s="1"/>
  <c r="BO91" i="1"/>
  <c r="BQ91" i="1" s="1"/>
  <c r="BO90" i="1"/>
  <c r="BQ90" i="1" s="1"/>
  <c r="BO89" i="1"/>
  <c r="BQ89" i="1" s="1"/>
  <c r="BO88" i="1"/>
  <c r="BQ88" i="1" s="1"/>
  <c r="BO87" i="1"/>
  <c r="BQ87" i="1" s="1"/>
  <c r="BO86" i="1"/>
  <c r="BQ86" i="1" s="1"/>
  <c r="BO85" i="1"/>
  <c r="BQ85" i="1" s="1"/>
  <c r="BO84" i="1"/>
  <c r="BQ84" i="1" s="1"/>
  <c r="BO83" i="1"/>
  <c r="BQ83" i="1" s="1"/>
  <c r="BO82" i="1"/>
  <c r="BQ82" i="1" s="1"/>
  <c r="BO81" i="1"/>
  <c r="BQ81" i="1" s="1"/>
  <c r="BO80" i="1"/>
  <c r="BQ80" i="1" s="1"/>
  <c r="BO79" i="1"/>
  <c r="BQ79" i="1" s="1"/>
  <c r="BO78" i="1"/>
  <c r="BQ78" i="1" s="1"/>
  <c r="BO77" i="1"/>
  <c r="BQ77" i="1" s="1"/>
  <c r="BO76" i="1"/>
  <c r="BQ76" i="1" s="1"/>
  <c r="BO75" i="1"/>
  <c r="BQ75" i="1" s="1"/>
  <c r="BO74" i="1"/>
  <c r="BQ74" i="1" s="1"/>
  <c r="BO73" i="1"/>
  <c r="BQ73" i="1" s="1"/>
  <c r="BO72" i="1"/>
  <c r="BQ72" i="1" s="1"/>
  <c r="BO71" i="1"/>
  <c r="BQ71" i="1" s="1"/>
  <c r="BO70" i="1"/>
  <c r="BQ70" i="1" s="1"/>
  <c r="BO69" i="1"/>
  <c r="BQ69" i="1" s="1"/>
  <c r="BO68" i="1"/>
  <c r="BQ68" i="1" s="1"/>
  <c r="BO67" i="1"/>
  <c r="BQ67" i="1" s="1"/>
  <c r="BO66" i="1"/>
  <c r="BQ66" i="1" s="1"/>
  <c r="BO65" i="1"/>
  <c r="BQ65" i="1" s="1"/>
  <c r="BO64" i="1"/>
  <c r="BQ64" i="1" s="1"/>
  <c r="BO63" i="1"/>
  <c r="BQ63" i="1" s="1"/>
  <c r="BO62" i="1"/>
  <c r="BQ62" i="1" s="1"/>
  <c r="BO61" i="1"/>
  <c r="BQ61" i="1" s="1"/>
  <c r="BO60" i="1"/>
  <c r="BQ60" i="1" s="1"/>
  <c r="BO59" i="1"/>
  <c r="BQ59" i="1" s="1"/>
  <c r="BO58" i="1"/>
  <c r="BQ58" i="1" s="1"/>
  <c r="BO57" i="1"/>
  <c r="BQ57" i="1" s="1"/>
  <c r="BO56" i="1"/>
  <c r="BQ56" i="1" s="1"/>
  <c r="BO55" i="1"/>
  <c r="BQ55" i="1" s="1"/>
  <c r="BO54" i="1"/>
  <c r="BQ54" i="1" s="1"/>
  <c r="BO53" i="1"/>
  <c r="BQ53" i="1" s="1"/>
  <c r="BO52" i="1"/>
  <c r="BQ52" i="1" s="1"/>
  <c r="BO51" i="1"/>
  <c r="BQ51" i="1" s="1"/>
  <c r="BO50" i="1"/>
  <c r="BQ50" i="1" s="1"/>
  <c r="BO49" i="1"/>
  <c r="BQ49" i="1" s="1"/>
  <c r="BO48" i="1"/>
  <c r="BQ48" i="1" s="1"/>
  <c r="BO47" i="1"/>
  <c r="BQ47" i="1" s="1"/>
  <c r="BO46" i="1"/>
  <c r="BQ46" i="1" s="1"/>
  <c r="BO45" i="1"/>
  <c r="BQ45" i="1" s="1"/>
  <c r="BO44" i="1"/>
  <c r="BQ44" i="1" s="1"/>
  <c r="BO43" i="1"/>
  <c r="BQ43" i="1" s="1"/>
  <c r="BO42" i="1"/>
  <c r="BQ42" i="1" s="1"/>
  <c r="BO41" i="1"/>
  <c r="BQ41" i="1" s="1"/>
  <c r="BO40" i="1"/>
  <c r="BQ40" i="1" s="1"/>
  <c r="BO39" i="1"/>
  <c r="BQ39" i="1" s="1"/>
  <c r="BO38" i="1"/>
  <c r="BQ38" i="1" s="1"/>
  <c r="BO37" i="1"/>
  <c r="BQ37" i="1" s="1"/>
  <c r="BO36" i="1"/>
  <c r="BQ36" i="1" s="1"/>
  <c r="BO35" i="1"/>
  <c r="BQ35" i="1" s="1"/>
  <c r="BO34" i="1"/>
  <c r="BQ34" i="1" s="1"/>
  <c r="BO33" i="1"/>
  <c r="BQ33" i="1" s="1"/>
  <c r="BO32" i="1"/>
  <c r="BQ32" i="1" s="1"/>
  <c r="BO31" i="1"/>
  <c r="BQ31" i="1" s="1"/>
  <c r="BO30" i="1"/>
  <c r="BQ30" i="1" s="1"/>
  <c r="BO29" i="1"/>
  <c r="BQ29" i="1" s="1"/>
  <c r="BO28" i="1"/>
  <c r="BQ28" i="1" s="1"/>
  <c r="BO27" i="1"/>
  <c r="BQ27" i="1" s="1"/>
  <c r="BO26" i="1"/>
  <c r="BQ26" i="1" s="1"/>
  <c r="BO25" i="1"/>
  <c r="BQ25" i="1" s="1"/>
  <c r="BO24" i="1"/>
  <c r="BQ24" i="1" s="1"/>
  <c r="BO23" i="1"/>
  <c r="BQ23" i="1" s="1"/>
  <c r="BO22" i="1"/>
  <c r="BQ22" i="1" s="1"/>
  <c r="BO21" i="1"/>
  <c r="BQ21" i="1" s="1"/>
  <c r="BO20" i="1"/>
  <c r="BQ20" i="1" s="1"/>
  <c r="BO19" i="1"/>
  <c r="BQ19" i="1" s="1"/>
  <c r="BO18" i="1"/>
  <c r="BQ18" i="1" s="1"/>
  <c r="BO17" i="1"/>
  <c r="BQ17" i="1" s="1"/>
  <c r="BO16" i="1"/>
  <c r="BQ16" i="1" s="1"/>
  <c r="BO15" i="1"/>
  <c r="BQ15" i="1" s="1"/>
  <c r="BO14" i="1"/>
  <c r="BQ14" i="1" s="1"/>
  <c r="BO13" i="1"/>
  <c r="BQ13" i="1" s="1"/>
  <c r="BO12" i="1"/>
  <c r="BQ12" i="1" s="1"/>
  <c r="BO11" i="1"/>
  <c r="BQ11" i="1" s="1"/>
  <c r="BO10" i="1"/>
  <c r="BQ10" i="1" s="1"/>
  <c r="BO9" i="1"/>
  <c r="BQ9" i="1" s="1"/>
  <c r="BO8" i="1"/>
  <c r="BQ8" i="1" s="1"/>
  <c r="BO7" i="1"/>
  <c r="BQ7" i="1" s="1"/>
  <c r="BO6" i="1"/>
  <c r="BQ6" i="1" s="1"/>
  <c r="BO5" i="1"/>
  <c r="BQ5" i="1" s="1"/>
  <c r="BO4" i="1"/>
  <c r="BQ4" i="1" s="1"/>
  <c r="BO3" i="1"/>
  <c r="BQ3" i="1" s="1"/>
  <c r="BE244" i="1" l="1"/>
  <c r="BG244" i="1" s="1"/>
  <c r="BR244" i="1" s="1"/>
  <c r="BE243" i="1"/>
  <c r="BG243" i="1" s="1"/>
  <c r="BR243" i="1" s="1"/>
  <c r="BE242" i="1"/>
  <c r="BG242" i="1" s="1"/>
  <c r="BR242" i="1" s="1"/>
  <c r="BE241" i="1"/>
  <c r="BG241" i="1" s="1"/>
  <c r="BR241" i="1" s="1"/>
  <c r="BE240" i="1"/>
  <c r="BG240" i="1" s="1"/>
  <c r="BR240" i="1" s="1"/>
  <c r="BE239" i="1"/>
  <c r="BG239" i="1" s="1"/>
  <c r="BR239" i="1" s="1"/>
  <c r="BE238" i="1"/>
  <c r="BG238" i="1" s="1"/>
  <c r="BR238" i="1" s="1"/>
  <c r="BE237" i="1"/>
  <c r="BG237" i="1" s="1"/>
  <c r="BR237" i="1" s="1"/>
  <c r="BE236" i="1"/>
  <c r="BG236" i="1" s="1"/>
  <c r="BR236" i="1" s="1"/>
  <c r="BE235" i="1"/>
  <c r="BG235" i="1" s="1"/>
  <c r="BR235" i="1" s="1"/>
  <c r="BE234" i="1"/>
  <c r="BG234" i="1" s="1"/>
  <c r="BR234" i="1" s="1"/>
  <c r="BE233" i="1"/>
  <c r="BG233" i="1" s="1"/>
  <c r="BR233" i="1" s="1"/>
  <c r="BE232" i="1"/>
  <c r="BG232" i="1" s="1"/>
  <c r="BR232" i="1" s="1"/>
  <c r="BE231" i="1"/>
  <c r="BG231" i="1" s="1"/>
  <c r="BR231" i="1" s="1"/>
  <c r="BE230" i="1"/>
  <c r="BG230" i="1" s="1"/>
  <c r="BR230" i="1" s="1"/>
  <c r="BE229" i="1"/>
  <c r="BG229" i="1" s="1"/>
  <c r="BR229" i="1" s="1"/>
  <c r="BE228" i="1"/>
  <c r="BG228" i="1" s="1"/>
  <c r="BR228" i="1" s="1"/>
  <c r="BE227" i="1"/>
  <c r="BG227" i="1" s="1"/>
  <c r="BR227" i="1" s="1"/>
  <c r="BE226" i="1"/>
  <c r="BG226" i="1" s="1"/>
  <c r="BR226" i="1" s="1"/>
  <c r="BE225" i="1"/>
  <c r="BG225" i="1" s="1"/>
  <c r="BR225" i="1" s="1"/>
  <c r="BE224" i="1"/>
  <c r="BG224" i="1" s="1"/>
  <c r="BR224" i="1" s="1"/>
  <c r="BE223" i="1"/>
  <c r="BG223" i="1" s="1"/>
  <c r="BR223" i="1" s="1"/>
  <c r="BE222" i="1"/>
  <c r="BG222" i="1" s="1"/>
  <c r="BR222" i="1" s="1"/>
  <c r="BE221" i="1"/>
  <c r="BG221" i="1" s="1"/>
  <c r="BR221" i="1" s="1"/>
  <c r="BE220" i="1"/>
  <c r="BG220" i="1" s="1"/>
  <c r="BR220" i="1" s="1"/>
  <c r="BE219" i="1"/>
  <c r="BG219" i="1" s="1"/>
  <c r="BR219" i="1" s="1"/>
  <c r="BE218" i="1"/>
  <c r="BG218" i="1" s="1"/>
  <c r="BR218" i="1" s="1"/>
  <c r="BE217" i="1"/>
  <c r="BG217" i="1" s="1"/>
  <c r="BR217" i="1" s="1"/>
  <c r="BE216" i="1"/>
  <c r="BG216" i="1" s="1"/>
  <c r="BR216" i="1" s="1"/>
  <c r="BE215" i="1"/>
  <c r="BG215" i="1" s="1"/>
  <c r="BR215" i="1" s="1"/>
  <c r="BE214" i="1"/>
  <c r="BG214" i="1" s="1"/>
  <c r="BR214" i="1" s="1"/>
  <c r="BE213" i="1"/>
  <c r="BG213" i="1" s="1"/>
  <c r="BR213" i="1" s="1"/>
  <c r="BE212" i="1"/>
  <c r="BG212" i="1" s="1"/>
  <c r="BR212" i="1" s="1"/>
  <c r="BE211" i="1"/>
  <c r="BG211" i="1" s="1"/>
  <c r="BR211" i="1" s="1"/>
  <c r="BE210" i="1"/>
  <c r="BG210" i="1" s="1"/>
  <c r="BR210" i="1" s="1"/>
  <c r="BE209" i="1"/>
  <c r="BG209" i="1" s="1"/>
  <c r="BR209" i="1" s="1"/>
  <c r="BE208" i="1"/>
  <c r="BG208" i="1" s="1"/>
  <c r="BR208" i="1" s="1"/>
  <c r="BE207" i="1"/>
  <c r="BG207" i="1" s="1"/>
  <c r="BR207" i="1" s="1"/>
  <c r="BE206" i="1"/>
  <c r="BG206" i="1" s="1"/>
  <c r="BR206" i="1" s="1"/>
  <c r="BE205" i="1"/>
  <c r="BG205" i="1" s="1"/>
  <c r="BR205" i="1" s="1"/>
  <c r="BE204" i="1"/>
  <c r="BG204" i="1" s="1"/>
  <c r="BR204" i="1" s="1"/>
  <c r="BE203" i="1"/>
  <c r="BG203" i="1" s="1"/>
  <c r="BR203" i="1" s="1"/>
  <c r="BE202" i="1"/>
  <c r="BG202" i="1" s="1"/>
  <c r="BR202" i="1" s="1"/>
  <c r="BE201" i="1"/>
  <c r="BG201" i="1" s="1"/>
  <c r="BR201" i="1" s="1"/>
  <c r="BE200" i="1"/>
  <c r="BG200" i="1" s="1"/>
  <c r="BR200" i="1" s="1"/>
  <c r="BE199" i="1"/>
  <c r="BG199" i="1" s="1"/>
  <c r="BR199" i="1" s="1"/>
  <c r="BE198" i="1"/>
  <c r="BG198" i="1" s="1"/>
  <c r="BR198" i="1" s="1"/>
  <c r="BE197" i="1"/>
  <c r="BG197" i="1" s="1"/>
  <c r="BR197" i="1" s="1"/>
  <c r="BE196" i="1"/>
  <c r="BG196" i="1" s="1"/>
  <c r="BR196" i="1" s="1"/>
  <c r="BE195" i="1"/>
  <c r="BG195" i="1" s="1"/>
  <c r="BR195" i="1" s="1"/>
  <c r="BE194" i="1"/>
  <c r="BG194" i="1" s="1"/>
  <c r="BR194" i="1" s="1"/>
  <c r="BE193" i="1"/>
  <c r="BG193" i="1" s="1"/>
  <c r="BR193" i="1" s="1"/>
  <c r="BE192" i="1"/>
  <c r="BG192" i="1" s="1"/>
  <c r="BR192" i="1" s="1"/>
  <c r="BE191" i="1"/>
  <c r="BG191" i="1" s="1"/>
  <c r="BR191" i="1" s="1"/>
  <c r="BE190" i="1"/>
  <c r="BG190" i="1" s="1"/>
  <c r="BR190" i="1" s="1"/>
  <c r="BE189" i="1"/>
  <c r="BG189" i="1" s="1"/>
  <c r="BR189" i="1" s="1"/>
  <c r="BE188" i="1"/>
  <c r="BG188" i="1" s="1"/>
  <c r="BR188" i="1" s="1"/>
  <c r="BE187" i="1"/>
  <c r="BG187" i="1" s="1"/>
  <c r="BR187" i="1" s="1"/>
  <c r="BE186" i="1"/>
  <c r="BG186" i="1" s="1"/>
  <c r="BR186" i="1" s="1"/>
  <c r="BE185" i="1"/>
  <c r="BG185" i="1" s="1"/>
  <c r="BR185" i="1" s="1"/>
  <c r="BE184" i="1"/>
  <c r="BG184" i="1" s="1"/>
  <c r="BR184" i="1" s="1"/>
  <c r="BE183" i="1"/>
  <c r="BG183" i="1" s="1"/>
  <c r="BR183" i="1" s="1"/>
  <c r="BE182" i="1"/>
  <c r="BG182" i="1" s="1"/>
  <c r="BR182" i="1" s="1"/>
  <c r="BE181" i="1"/>
  <c r="BG181" i="1" s="1"/>
  <c r="BR181" i="1" s="1"/>
  <c r="BE180" i="1"/>
  <c r="BG180" i="1" s="1"/>
  <c r="BR180" i="1" s="1"/>
  <c r="BE179" i="1"/>
  <c r="BG179" i="1" s="1"/>
  <c r="BR179" i="1" s="1"/>
  <c r="BE178" i="1"/>
  <c r="BG178" i="1" s="1"/>
  <c r="BR178" i="1" s="1"/>
  <c r="BE177" i="1"/>
  <c r="BG177" i="1" s="1"/>
  <c r="BR177" i="1" s="1"/>
  <c r="BE176" i="1"/>
  <c r="BG176" i="1" s="1"/>
  <c r="BR176" i="1" s="1"/>
  <c r="BE175" i="1"/>
  <c r="BG175" i="1" s="1"/>
  <c r="BR175" i="1" s="1"/>
  <c r="BE174" i="1"/>
  <c r="BG174" i="1" s="1"/>
  <c r="BR174" i="1" s="1"/>
  <c r="BE173" i="1"/>
  <c r="BG173" i="1" s="1"/>
  <c r="BR173" i="1" s="1"/>
  <c r="BE172" i="1"/>
  <c r="BG172" i="1" s="1"/>
  <c r="BR172" i="1" s="1"/>
  <c r="BE171" i="1"/>
  <c r="BG171" i="1" s="1"/>
  <c r="BR171" i="1" s="1"/>
  <c r="BE170" i="1"/>
  <c r="BG170" i="1" s="1"/>
  <c r="BR170" i="1" s="1"/>
  <c r="BE169" i="1"/>
  <c r="BG169" i="1" s="1"/>
  <c r="BR169" i="1" s="1"/>
  <c r="BE168" i="1"/>
  <c r="BG168" i="1" s="1"/>
  <c r="BR168" i="1" s="1"/>
  <c r="BE167" i="1"/>
  <c r="BG167" i="1" s="1"/>
  <c r="BR167" i="1" s="1"/>
  <c r="BE166" i="1"/>
  <c r="BG166" i="1" s="1"/>
  <c r="BR166" i="1" s="1"/>
  <c r="BE165" i="1"/>
  <c r="BG165" i="1" s="1"/>
  <c r="BR165" i="1" s="1"/>
  <c r="BE164" i="1"/>
  <c r="BG164" i="1" s="1"/>
  <c r="BR164" i="1" s="1"/>
  <c r="BE163" i="1"/>
  <c r="BG163" i="1" s="1"/>
  <c r="BR163" i="1" s="1"/>
  <c r="BE162" i="1"/>
  <c r="BG162" i="1" s="1"/>
  <c r="BR162" i="1" s="1"/>
  <c r="BE161" i="1"/>
  <c r="BG161" i="1" s="1"/>
  <c r="BR161" i="1" s="1"/>
  <c r="BE160" i="1"/>
  <c r="BG160" i="1" s="1"/>
  <c r="BR160" i="1" s="1"/>
  <c r="BE159" i="1"/>
  <c r="BG159" i="1" s="1"/>
  <c r="BR159" i="1" s="1"/>
  <c r="BE158" i="1"/>
  <c r="BG158" i="1" s="1"/>
  <c r="BR158" i="1" s="1"/>
  <c r="BE157" i="1"/>
  <c r="BG157" i="1" s="1"/>
  <c r="BR157" i="1" s="1"/>
  <c r="BE156" i="1"/>
  <c r="BG156" i="1" s="1"/>
  <c r="BR156" i="1" s="1"/>
  <c r="BE155" i="1"/>
  <c r="BG155" i="1" s="1"/>
  <c r="BR155" i="1" s="1"/>
  <c r="BE154" i="1"/>
  <c r="BG154" i="1" s="1"/>
  <c r="BR154" i="1" s="1"/>
  <c r="BE153" i="1"/>
  <c r="BG153" i="1" s="1"/>
  <c r="BR153" i="1" s="1"/>
  <c r="BE152" i="1"/>
  <c r="BG152" i="1" s="1"/>
  <c r="BR152" i="1" s="1"/>
  <c r="BE151" i="1"/>
  <c r="BG151" i="1" s="1"/>
  <c r="BR151" i="1" s="1"/>
  <c r="BE150" i="1"/>
  <c r="BG150" i="1" s="1"/>
  <c r="BR150" i="1" s="1"/>
  <c r="BE149" i="1"/>
  <c r="BG149" i="1" s="1"/>
  <c r="BR149" i="1" s="1"/>
  <c r="BE148" i="1"/>
  <c r="BG148" i="1" s="1"/>
  <c r="BR148" i="1" s="1"/>
  <c r="BE147" i="1"/>
  <c r="BG147" i="1" s="1"/>
  <c r="BR147" i="1" s="1"/>
  <c r="BE146" i="1"/>
  <c r="BG146" i="1" s="1"/>
  <c r="BR146" i="1" s="1"/>
  <c r="BE145" i="1"/>
  <c r="BG145" i="1" s="1"/>
  <c r="BR145" i="1" s="1"/>
  <c r="BE144" i="1"/>
  <c r="BG144" i="1" s="1"/>
  <c r="BR144" i="1" s="1"/>
  <c r="BE143" i="1"/>
  <c r="BG143" i="1" s="1"/>
  <c r="BR143" i="1" s="1"/>
  <c r="BE142" i="1"/>
  <c r="BG142" i="1" s="1"/>
  <c r="BR142" i="1" s="1"/>
  <c r="BE141" i="1"/>
  <c r="BG141" i="1" s="1"/>
  <c r="BR141" i="1" s="1"/>
  <c r="BE140" i="1"/>
  <c r="BG140" i="1" s="1"/>
  <c r="BR140" i="1" s="1"/>
  <c r="BE139" i="1"/>
  <c r="BG139" i="1" s="1"/>
  <c r="BR139" i="1" s="1"/>
  <c r="BE138" i="1"/>
  <c r="BG138" i="1" s="1"/>
  <c r="BR138" i="1" s="1"/>
  <c r="BE137" i="1"/>
  <c r="BG137" i="1" s="1"/>
  <c r="BR137" i="1" s="1"/>
  <c r="BE136" i="1"/>
  <c r="BG136" i="1" s="1"/>
  <c r="BR136" i="1" s="1"/>
  <c r="BE135" i="1"/>
  <c r="BG135" i="1" s="1"/>
  <c r="BR135" i="1" s="1"/>
  <c r="BE134" i="1"/>
  <c r="BG134" i="1" s="1"/>
  <c r="BR134" i="1" s="1"/>
  <c r="BE133" i="1"/>
  <c r="BG133" i="1" s="1"/>
  <c r="BR133" i="1" s="1"/>
  <c r="BE132" i="1"/>
  <c r="BG132" i="1" s="1"/>
  <c r="BR132" i="1" s="1"/>
  <c r="BE131" i="1"/>
  <c r="BG131" i="1" s="1"/>
  <c r="BR131" i="1" s="1"/>
  <c r="BE130" i="1"/>
  <c r="BG130" i="1" s="1"/>
  <c r="BR130" i="1" s="1"/>
  <c r="BE129" i="1"/>
  <c r="BG129" i="1" s="1"/>
  <c r="BR129" i="1" s="1"/>
  <c r="BE128" i="1"/>
  <c r="BG128" i="1" s="1"/>
  <c r="BR128" i="1" s="1"/>
  <c r="BE127" i="1"/>
  <c r="BG127" i="1" s="1"/>
  <c r="BR127" i="1" s="1"/>
  <c r="BE126" i="1"/>
  <c r="BG126" i="1" s="1"/>
  <c r="BR126" i="1" s="1"/>
  <c r="BE125" i="1"/>
  <c r="BG125" i="1" s="1"/>
  <c r="BR125" i="1" s="1"/>
  <c r="BE124" i="1"/>
  <c r="BG124" i="1" s="1"/>
  <c r="BR124" i="1" s="1"/>
  <c r="BE123" i="1"/>
  <c r="BG123" i="1" s="1"/>
  <c r="BR123" i="1" s="1"/>
  <c r="BE122" i="1"/>
  <c r="BG122" i="1" s="1"/>
  <c r="BR122" i="1" s="1"/>
  <c r="BE121" i="1"/>
  <c r="BG121" i="1" s="1"/>
  <c r="BR121" i="1" s="1"/>
  <c r="BE120" i="1"/>
  <c r="BG120" i="1" s="1"/>
  <c r="BR120" i="1" s="1"/>
  <c r="BE119" i="1"/>
  <c r="BG119" i="1" s="1"/>
  <c r="BR119" i="1" s="1"/>
  <c r="BE118" i="1"/>
  <c r="BG118" i="1" s="1"/>
  <c r="BR118" i="1" s="1"/>
  <c r="BE117" i="1"/>
  <c r="BG117" i="1" s="1"/>
  <c r="BR117" i="1" s="1"/>
  <c r="BE116" i="1"/>
  <c r="BG116" i="1" s="1"/>
  <c r="BR116" i="1" s="1"/>
  <c r="BE115" i="1"/>
  <c r="BG115" i="1" s="1"/>
  <c r="BR115" i="1" s="1"/>
  <c r="BE114" i="1"/>
  <c r="BG114" i="1" s="1"/>
  <c r="BR114" i="1" s="1"/>
  <c r="BE113" i="1"/>
  <c r="BG113" i="1" s="1"/>
  <c r="BR113" i="1" s="1"/>
  <c r="BE112" i="1"/>
  <c r="BG112" i="1" s="1"/>
  <c r="BR112" i="1" s="1"/>
  <c r="BE111" i="1"/>
  <c r="BG111" i="1" s="1"/>
  <c r="BR111" i="1" s="1"/>
  <c r="BE110" i="1"/>
  <c r="BG110" i="1" s="1"/>
  <c r="BR110" i="1" s="1"/>
  <c r="BE109" i="1"/>
  <c r="BG109" i="1" s="1"/>
  <c r="BR109" i="1" s="1"/>
  <c r="BE108" i="1"/>
  <c r="BG108" i="1" s="1"/>
  <c r="BR108" i="1" s="1"/>
  <c r="BE107" i="1"/>
  <c r="BG107" i="1" s="1"/>
  <c r="BR107" i="1" s="1"/>
  <c r="BE106" i="1"/>
  <c r="BG106" i="1" s="1"/>
  <c r="BR106" i="1" s="1"/>
  <c r="BE105" i="1"/>
  <c r="BG105" i="1" s="1"/>
  <c r="BR105" i="1" s="1"/>
  <c r="BE104" i="1"/>
  <c r="BG104" i="1" s="1"/>
  <c r="BR104" i="1" s="1"/>
  <c r="BE103" i="1"/>
  <c r="BG103" i="1" s="1"/>
  <c r="BR103" i="1" s="1"/>
  <c r="BE102" i="1"/>
  <c r="BG102" i="1" s="1"/>
  <c r="BR102" i="1" s="1"/>
  <c r="BE101" i="1"/>
  <c r="BG101" i="1" s="1"/>
  <c r="BR101" i="1" s="1"/>
  <c r="BE100" i="1"/>
  <c r="BG100" i="1" s="1"/>
  <c r="BR100" i="1" s="1"/>
  <c r="BE99" i="1"/>
  <c r="BG99" i="1" s="1"/>
  <c r="BR99" i="1" s="1"/>
  <c r="BE98" i="1"/>
  <c r="BG98" i="1" s="1"/>
  <c r="BR98" i="1" s="1"/>
  <c r="BE97" i="1"/>
  <c r="BG97" i="1" s="1"/>
  <c r="BR97" i="1" s="1"/>
  <c r="BE96" i="1"/>
  <c r="BG96" i="1" s="1"/>
  <c r="BR96" i="1" s="1"/>
  <c r="BE95" i="1"/>
  <c r="BG95" i="1" s="1"/>
  <c r="BR95" i="1" s="1"/>
  <c r="BE94" i="1"/>
  <c r="BG94" i="1" s="1"/>
  <c r="BR94" i="1" s="1"/>
  <c r="BE93" i="1"/>
  <c r="BG93" i="1" s="1"/>
  <c r="BR93" i="1" s="1"/>
  <c r="BE92" i="1"/>
  <c r="BG92" i="1" s="1"/>
  <c r="BR92" i="1" s="1"/>
  <c r="BE91" i="1"/>
  <c r="BG91" i="1" s="1"/>
  <c r="BR91" i="1" s="1"/>
  <c r="BE90" i="1"/>
  <c r="BG90" i="1" s="1"/>
  <c r="BR90" i="1" s="1"/>
  <c r="BE89" i="1"/>
  <c r="BG89" i="1" s="1"/>
  <c r="BR89" i="1" s="1"/>
  <c r="BE88" i="1"/>
  <c r="BG88" i="1" s="1"/>
  <c r="BR88" i="1" s="1"/>
  <c r="BE87" i="1"/>
  <c r="BG87" i="1" s="1"/>
  <c r="BR87" i="1" s="1"/>
  <c r="BE86" i="1"/>
  <c r="BG86" i="1" s="1"/>
  <c r="BR86" i="1" s="1"/>
  <c r="BE85" i="1"/>
  <c r="BG85" i="1" s="1"/>
  <c r="BR85" i="1" s="1"/>
  <c r="BE84" i="1"/>
  <c r="BG84" i="1" s="1"/>
  <c r="BR84" i="1" s="1"/>
  <c r="BE83" i="1"/>
  <c r="BG83" i="1" s="1"/>
  <c r="BR83" i="1" s="1"/>
  <c r="BE82" i="1"/>
  <c r="BG82" i="1" s="1"/>
  <c r="BR82" i="1" s="1"/>
  <c r="BE81" i="1"/>
  <c r="BG81" i="1" s="1"/>
  <c r="BR81" i="1" s="1"/>
  <c r="BE80" i="1"/>
  <c r="BG80" i="1" s="1"/>
  <c r="BR80" i="1" s="1"/>
  <c r="BE79" i="1"/>
  <c r="BG79" i="1" s="1"/>
  <c r="BR79" i="1" s="1"/>
  <c r="BE78" i="1"/>
  <c r="BG78" i="1" s="1"/>
  <c r="BR78" i="1" s="1"/>
  <c r="BE77" i="1"/>
  <c r="BG77" i="1" s="1"/>
  <c r="BR77" i="1" s="1"/>
  <c r="BE76" i="1"/>
  <c r="BG76" i="1" s="1"/>
  <c r="BR76" i="1" s="1"/>
  <c r="BE75" i="1"/>
  <c r="BG75" i="1" s="1"/>
  <c r="BR75" i="1" s="1"/>
  <c r="BE74" i="1"/>
  <c r="BG74" i="1" s="1"/>
  <c r="BR74" i="1" s="1"/>
  <c r="BE73" i="1"/>
  <c r="BG73" i="1" s="1"/>
  <c r="BR73" i="1" s="1"/>
  <c r="BE72" i="1"/>
  <c r="BG72" i="1" s="1"/>
  <c r="BR72" i="1" s="1"/>
  <c r="BE71" i="1"/>
  <c r="BG71" i="1" s="1"/>
  <c r="BR71" i="1" s="1"/>
  <c r="BE70" i="1"/>
  <c r="BG70" i="1" s="1"/>
  <c r="BR70" i="1" s="1"/>
  <c r="BE69" i="1"/>
  <c r="BG69" i="1" s="1"/>
  <c r="BR69" i="1" s="1"/>
  <c r="BE68" i="1"/>
  <c r="BG68" i="1" s="1"/>
  <c r="BR68" i="1" s="1"/>
  <c r="BE67" i="1"/>
  <c r="BG67" i="1" s="1"/>
  <c r="BR67" i="1" s="1"/>
  <c r="BE66" i="1"/>
  <c r="BG66" i="1" s="1"/>
  <c r="BR66" i="1" s="1"/>
  <c r="BE65" i="1"/>
  <c r="BG65" i="1" s="1"/>
  <c r="BR65" i="1" s="1"/>
  <c r="BE64" i="1"/>
  <c r="BG64" i="1" s="1"/>
  <c r="BR64" i="1" s="1"/>
  <c r="BE63" i="1"/>
  <c r="BG63" i="1" s="1"/>
  <c r="BR63" i="1" s="1"/>
  <c r="BE62" i="1"/>
  <c r="BG62" i="1" s="1"/>
  <c r="BR62" i="1" s="1"/>
  <c r="BE61" i="1"/>
  <c r="BG61" i="1" s="1"/>
  <c r="BR61" i="1" s="1"/>
  <c r="BE60" i="1"/>
  <c r="BG60" i="1" s="1"/>
  <c r="BR60" i="1" s="1"/>
  <c r="BE59" i="1"/>
  <c r="BG59" i="1" s="1"/>
  <c r="BR59" i="1" s="1"/>
  <c r="BE58" i="1"/>
  <c r="BG58" i="1" s="1"/>
  <c r="BR58" i="1" s="1"/>
  <c r="BE57" i="1"/>
  <c r="BG57" i="1" s="1"/>
  <c r="BR57" i="1" s="1"/>
  <c r="BE56" i="1"/>
  <c r="BG56" i="1" s="1"/>
  <c r="BR56" i="1" s="1"/>
  <c r="BE55" i="1"/>
  <c r="BG55" i="1" s="1"/>
  <c r="BR55" i="1" s="1"/>
  <c r="BE54" i="1"/>
  <c r="BG54" i="1" s="1"/>
  <c r="BR54" i="1" s="1"/>
  <c r="BE53" i="1"/>
  <c r="BG53" i="1" s="1"/>
  <c r="BR53" i="1" s="1"/>
  <c r="BE52" i="1"/>
  <c r="BG52" i="1" s="1"/>
  <c r="BR52" i="1" s="1"/>
  <c r="BE51" i="1"/>
  <c r="BG51" i="1" s="1"/>
  <c r="BR51" i="1" s="1"/>
  <c r="BE50" i="1"/>
  <c r="BG50" i="1" s="1"/>
  <c r="BR50" i="1" s="1"/>
  <c r="BE49" i="1"/>
  <c r="BG49" i="1" s="1"/>
  <c r="BR49" i="1" s="1"/>
  <c r="BE48" i="1"/>
  <c r="BG48" i="1" s="1"/>
  <c r="BR48" i="1" s="1"/>
  <c r="BE47" i="1"/>
  <c r="BG47" i="1" s="1"/>
  <c r="BR47" i="1" s="1"/>
  <c r="BE46" i="1"/>
  <c r="BG46" i="1" s="1"/>
  <c r="BR46" i="1" s="1"/>
  <c r="BE45" i="1"/>
  <c r="BG45" i="1" s="1"/>
  <c r="BR45" i="1" s="1"/>
  <c r="BE44" i="1"/>
  <c r="BG44" i="1" s="1"/>
  <c r="BR44" i="1" s="1"/>
  <c r="BE43" i="1"/>
  <c r="BG43" i="1" s="1"/>
  <c r="BR43" i="1" s="1"/>
  <c r="BE42" i="1"/>
  <c r="BG42" i="1" s="1"/>
  <c r="BR42" i="1" s="1"/>
  <c r="BE41" i="1"/>
  <c r="BG41" i="1" s="1"/>
  <c r="BR41" i="1" s="1"/>
  <c r="BE40" i="1"/>
  <c r="BG40" i="1" s="1"/>
  <c r="BR40" i="1" s="1"/>
  <c r="BE39" i="1"/>
  <c r="BG39" i="1" s="1"/>
  <c r="BR39" i="1" s="1"/>
  <c r="BE38" i="1"/>
  <c r="BG38" i="1" s="1"/>
  <c r="BR38" i="1" s="1"/>
  <c r="BE37" i="1"/>
  <c r="BG37" i="1" s="1"/>
  <c r="BR37" i="1" s="1"/>
  <c r="BE36" i="1"/>
  <c r="BG36" i="1" s="1"/>
  <c r="BR36" i="1" s="1"/>
  <c r="BE35" i="1"/>
  <c r="BG35" i="1" s="1"/>
  <c r="BR35" i="1" s="1"/>
  <c r="BE34" i="1"/>
  <c r="BG34" i="1" s="1"/>
  <c r="BR34" i="1" s="1"/>
  <c r="BE33" i="1"/>
  <c r="BG33" i="1" s="1"/>
  <c r="BR33" i="1" s="1"/>
  <c r="BE32" i="1"/>
  <c r="BG32" i="1" s="1"/>
  <c r="BR32" i="1" s="1"/>
  <c r="BE31" i="1"/>
  <c r="BG31" i="1" s="1"/>
  <c r="BR31" i="1" s="1"/>
  <c r="BE30" i="1"/>
  <c r="BG30" i="1" s="1"/>
  <c r="BR30" i="1" s="1"/>
  <c r="BE29" i="1"/>
  <c r="BG29" i="1" s="1"/>
  <c r="BR29" i="1" s="1"/>
  <c r="BE28" i="1"/>
  <c r="BG28" i="1" s="1"/>
  <c r="BR28" i="1" s="1"/>
  <c r="BE27" i="1"/>
  <c r="BG27" i="1" s="1"/>
  <c r="BR27" i="1" s="1"/>
  <c r="BE26" i="1"/>
  <c r="BG26" i="1" s="1"/>
  <c r="BR26" i="1" s="1"/>
  <c r="BE25" i="1"/>
  <c r="BG25" i="1" s="1"/>
  <c r="BR25" i="1" s="1"/>
  <c r="BE24" i="1"/>
  <c r="BG24" i="1" s="1"/>
  <c r="BR24" i="1" s="1"/>
  <c r="BE23" i="1"/>
  <c r="BG23" i="1" s="1"/>
  <c r="BR23" i="1" s="1"/>
  <c r="BE22" i="1"/>
  <c r="BG22" i="1" s="1"/>
  <c r="BR22" i="1" s="1"/>
  <c r="BE21" i="1"/>
  <c r="BG21" i="1" s="1"/>
  <c r="BR21" i="1" s="1"/>
  <c r="BE20" i="1"/>
  <c r="BG20" i="1" s="1"/>
  <c r="BR20" i="1" s="1"/>
  <c r="BE19" i="1"/>
  <c r="BG19" i="1" s="1"/>
  <c r="BR19" i="1" s="1"/>
  <c r="BE18" i="1"/>
  <c r="BG18" i="1" s="1"/>
  <c r="BR18" i="1" s="1"/>
  <c r="BE17" i="1"/>
  <c r="BG17" i="1" s="1"/>
  <c r="BR17" i="1" s="1"/>
  <c r="BE16" i="1"/>
  <c r="BG16" i="1" s="1"/>
  <c r="BR16" i="1" s="1"/>
  <c r="BE15" i="1"/>
  <c r="BG15" i="1" s="1"/>
  <c r="BR15" i="1" s="1"/>
  <c r="BE14" i="1"/>
  <c r="BG14" i="1" s="1"/>
  <c r="BR14" i="1" s="1"/>
  <c r="BE13" i="1"/>
  <c r="BG13" i="1" s="1"/>
  <c r="BR13" i="1" s="1"/>
  <c r="BE12" i="1"/>
  <c r="BG12" i="1" s="1"/>
  <c r="BR12" i="1" s="1"/>
  <c r="BE11" i="1"/>
  <c r="BG11" i="1" s="1"/>
  <c r="BR11" i="1" s="1"/>
  <c r="BE10" i="1"/>
  <c r="BG10" i="1" s="1"/>
  <c r="BR10" i="1" s="1"/>
  <c r="BE9" i="1"/>
  <c r="BG9" i="1" s="1"/>
  <c r="BR9" i="1" s="1"/>
  <c r="BE8" i="1"/>
  <c r="BG8" i="1" s="1"/>
  <c r="BR8" i="1" s="1"/>
  <c r="BE7" i="1"/>
  <c r="BG7" i="1" s="1"/>
  <c r="BR7" i="1" s="1"/>
  <c r="BE6" i="1"/>
  <c r="BG6" i="1" s="1"/>
  <c r="BR6" i="1" s="1"/>
  <c r="BE5" i="1"/>
  <c r="BG5" i="1" s="1"/>
  <c r="BR5" i="1" s="1"/>
  <c r="BE4" i="1"/>
  <c r="BG4" i="1" s="1"/>
  <c r="BR4" i="1" s="1"/>
  <c r="BE3" i="1"/>
  <c r="BG3" i="1" s="1"/>
  <c r="BR3" i="1" s="1"/>
  <c r="AU244" i="1" l="1"/>
  <c r="AT244" i="1"/>
  <c r="AR244" i="1"/>
  <c r="AS244" i="1" s="1"/>
  <c r="AQ244" i="1"/>
  <c r="AP244" i="1"/>
  <c r="AO244" i="1"/>
  <c r="AV244" i="1" s="1"/>
  <c r="AU243" i="1"/>
  <c r="AT243" i="1"/>
  <c r="AR243" i="1"/>
  <c r="AS243" i="1" s="1"/>
  <c r="AQ243" i="1"/>
  <c r="AP243" i="1"/>
  <c r="AO243" i="1"/>
  <c r="AU242" i="1"/>
  <c r="AT242" i="1"/>
  <c r="AR242" i="1"/>
  <c r="AS242" i="1" s="1"/>
  <c r="AQ242" i="1"/>
  <c r="AP242" i="1"/>
  <c r="AO242" i="1"/>
  <c r="AU241" i="1"/>
  <c r="AT241" i="1"/>
  <c r="AR241" i="1"/>
  <c r="AS241" i="1" s="1"/>
  <c r="AQ241" i="1"/>
  <c r="AP241" i="1"/>
  <c r="AO241" i="1"/>
  <c r="AV241" i="1" s="1"/>
  <c r="AU240" i="1"/>
  <c r="AT240" i="1"/>
  <c r="AR240" i="1"/>
  <c r="AS240" i="1" s="1"/>
  <c r="AQ240" i="1"/>
  <c r="AP240" i="1"/>
  <c r="AO240" i="1"/>
  <c r="AV240" i="1" s="1"/>
  <c r="AU239" i="1"/>
  <c r="AT239" i="1"/>
  <c r="AR239" i="1"/>
  <c r="AS239" i="1" s="1"/>
  <c r="AQ239" i="1"/>
  <c r="AP239" i="1"/>
  <c r="AO239" i="1"/>
  <c r="AU238" i="1"/>
  <c r="AT238" i="1"/>
  <c r="AR238" i="1"/>
  <c r="AS238" i="1" s="1"/>
  <c r="AQ238" i="1"/>
  <c r="AP238" i="1"/>
  <c r="AO238" i="1"/>
  <c r="AU237" i="1"/>
  <c r="AT237" i="1"/>
  <c r="AR237" i="1"/>
  <c r="AS237" i="1" s="1"/>
  <c r="AQ237" i="1"/>
  <c r="AP237" i="1"/>
  <c r="AO237" i="1"/>
  <c r="AV237" i="1" s="1"/>
  <c r="AU236" i="1"/>
  <c r="AT236" i="1"/>
  <c r="AR236" i="1"/>
  <c r="AS236" i="1" s="1"/>
  <c r="AQ236" i="1"/>
  <c r="AP236" i="1"/>
  <c r="AO236" i="1"/>
  <c r="AV236" i="1" s="1"/>
  <c r="AU235" i="1"/>
  <c r="AT235" i="1"/>
  <c r="AR235" i="1"/>
  <c r="AS235" i="1" s="1"/>
  <c r="AQ235" i="1"/>
  <c r="AP235" i="1"/>
  <c r="AO235" i="1"/>
  <c r="AU234" i="1"/>
  <c r="AT234" i="1"/>
  <c r="AR234" i="1"/>
  <c r="AS234" i="1" s="1"/>
  <c r="AQ234" i="1"/>
  <c r="AP234" i="1"/>
  <c r="AO234" i="1"/>
  <c r="AU233" i="1"/>
  <c r="AT233" i="1"/>
  <c r="AR233" i="1"/>
  <c r="AS233" i="1" s="1"/>
  <c r="AQ233" i="1"/>
  <c r="AP233" i="1"/>
  <c r="AO233" i="1"/>
  <c r="AV233" i="1" s="1"/>
  <c r="AU232" i="1"/>
  <c r="AT232" i="1"/>
  <c r="AR232" i="1"/>
  <c r="AS232" i="1" s="1"/>
  <c r="AQ232" i="1"/>
  <c r="AP232" i="1"/>
  <c r="AO232" i="1"/>
  <c r="AV232" i="1" s="1"/>
  <c r="AU231" i="1"/>
  <c r="AT231" i="1"/>
  <c r="AR231" i="1"/>
  <c r="AS231" i="1" s="1"/>
  <c r="AQ231" i="1"/>
  <c r="AP231" i="1"/>
  <c r="AO231" i="1"/>
  <c r="AU230" i="1"/>
  <c r="AT230" i="1"/>
  <c r="AR230" i="1"/>
  <c r="AS230" i="1" s="1"/>
  <c r="AQ230" i="1"/>
  <c r="AP230" i="1"/>
  <c r="AO230" i="1"/>
  <c r="AU229" i="1"/>
  <c r="AT229" i="1"/>
  <c r="AR229" i="1"/>
  <c r="AS229" i="1" s="1"/>
  <c r="AQ229" i="1"/>
  <c r="AP229" i="1"/>
  <c r="AO229" i="1"/>
  <c r="AV229" i="1" s="1"/>
  <c r="AU228" i="1"/>
  <c r="AT228" i="1"/>
  <c r="AR228" i="1"/>
  <c r="AS228" i="1" s="1"/>
  <c r="AQ228" i="1"/>
  <c r="AP228" i="1"/>
  <c r="AO228" i="1"/>
  <c r="AV228" i="1" s="1"/>
  <c r="AU227" i="1"/>
  <c r="AT227" i="1"/>
  <c r="AR227" i="1"/>
  <c r="AS227" i="1" s="1"/>
  <c r="AQ227" i="1"/>
  <c r="AP227" i="1"/>
  <c r="AO227" i="1"/>
  <c r="AU226" i="1"/>
  <c r="AT226" i="1"/>
  <c r="AR226" i="1"/>
  <c r="AS226" i="1" s="1"/>
  <c r="AQ226" i="1"/>
  <c r="AP226" i="1"/>
  <c r="AO226" i="1"/>
  <c r="AU225" i="1"/>
  <c r="AT225" i="1"/>
  <c r="AR225" i="1"/>
  <c r="AS225" i="1" s="1"/>
  <c r="AQ225" i="1"/>
  <c r="AP225" i="1"/>
  <c r="AO225" i="1"/>
  <c r="AV225" i="1" s="1"/>
  <c r="AU224" i="1"/>
  <c r="AT224" i="1"/>
  <c r="AR224" i="1"/>
  <c r="AS224" i="1" s="1"/>
  <c r="AQ224" i="1"/>
  <c r="AP224" i="1"/>
  <c r="AO224" i="1"/>
  <c r="AV224" i="1" s="1"/>
  <c r="AU223" i="1"/>
  <c r="AT223" i="1"/>
  <c r="AR223" i="1"/>
  <c r="AS223" i="1" s="1"/>
  <c r="AQ223" i="1"/>
  <c r="AP223" i="1"/>
  <c r="AO223" i="1"/>
  <c r="AU222" i="1"/>
  <c r="AT222" i="1"/>
  <c r="AR222" i="1"/>
  <c r="AS222" i="1" s="1"/>
  <c r="AQ222" i="1"/>
  <c r="AP222" i="1"/>
  <c r="AO222" i="1"/>
  <c r="AU221" i="1"/>
  <c r="AT221" i="1"/>
  <c r="AR221" i="1"/>
  <c r="AS221" i="1" s="1"/>
  <c r="AQ221" i="1"/>
  <c r="AP221" i="1"/>
  <c r="AO221" i="1"/>
  <c r="AV221" i="1" s="1"/>
  <c r="AU220" i="1"/>
  <c r="AT220" i="1"/>
  <c r="AR220" i="1"/>
  <c r="AS220" i="1" s="1"/>
  <c r="AQ220" i="1"/>
  <c r="AP220" i="1"/>
  <c r="AO220" i="1"/>
  <c r="AV220" i="1" s="1"/>
  <c r="AU219" i="1"/>
  <c r="AT219" i="1"/>
  <c r="AR219" i="1"/>
  <c r="AS219" i="1" s="1"/>
  <c r="AQ219" i="1"/>
  <c r="AP219" i="1"/>
  <c r="AO219" i="1"/>
  <c r="AU218" i="1"/>
  <c r="AT218" i="1"/>
  <c r="AR218" i="1"/>
  <c r="AS218" i="1" s="1"/>
  <c r="AQ218" i="1"/>
  <c r="AP218" i="1"/>
  <c r="AO218" i="1"/>
  <c r="AU217" i="1"/>
  <c r="AT217" i="1"/>
  <c r="AR217" i="1"/>
  <c r="AS217" i="1" s="1"/>
  <c r="AQ217" i="1"/>
  <c r="AP217" i="1"/>
  <c r="AO217" i="1"/>
  <c r="AV217" i="1" s="1"/>
  <c r="AU216" i="1"/>
  <c r="AT216" i="1"/>
  <c r="AR216" i="1"/>
  <c r="AS216" i="1" s="1"/>
  <c r="AQ216" i="1"/>
  <c r="AP216" i="1"/>
  <c r="AO216" i="1"/>
  <c r="AV216" i="1" s="1"/>
  <c r="AU215" i="1"/>
  <c r="AT215" i="1"/>
  <c r="AR215" i="1"/>
  <c r="AS215" i="1" s="1"/>
  <c r="AQ215" i="1"/>
  <c r="AP215" i="1"/>
  <c r="AO215" i="1"/>
  <c r="AU214" i="1"/>
  <c r="AT214" i="1"/>
  <c r="AR214" i="1"/>
  <c r="AS214" i="1" s="1"/>
  <c r="AQ214" i="1"/>
  <c r="AP214" i="1"/>
  <c r="AO214" i="1"/>
  <c r="AU213" i="1"/>
  <c r="AT213" i="1"/>
  <c r="AR213" i="1"/>
  <c r="AS213" i="1" s="1"/>
  <c r="AQ213" i="1"/>
  <c r="AP213" i="1"/>
  <c r="AO213" i="1"/>
  <c r="AV213" i="1" s="1"/>
  <c r="AU212" i="1"/>
  <c r="AT212" i="1"/>
  <c r="AR212" i="1"/>
  <c r="AS212" i="1" s="1"/>
  <c r="AQ212" i="1"/>
  <c r="AP212" i="1"/>
  <c r="AO212" i="1"/>
  <c r="AV212" i="1" s="1"/>
  <c r="AU211" i="1"/>
  <c r="AT211" i="1"/>
  <c r="AR211" i="1"/>
  <c r="AS211" i="1" s="1"/>
  <c r="AQ211" i="1"/>
  <c r="AP211" i="1"/>
  <c r="AO211" i="1"/>
  <c r="AU210" i="1"/>
  <c r="AT210" i="1"/>
  <c r="AR210" i="1"/>
  <c r="AS210" i="1" s="1"/>
  <c r="AQ210" i="1"/>
  <c r="AP210" i="1"/>
  <c r="AO210" i="1"/>
  <c r="AU209" i="1"/>
  <c r="AT209" i="1"/>
  <c r="AR209" i="1"/>
  <c r="AS209" i="1" s="1"/>
  <c r="AQ209" i="1"/>
  <c r="AP209" i="1"/>
  <c r="AO209" i="1"/>
  <c r="AV209" i="1" s="1"/>
  <c r="AU208" i="1"/>
  <c r="AT208" i="1"/>
  <c r="AR208" i="1"/>
  <c r="AS208" i="1" s="1"/>
  <c r="AQ208" i="1"/>
  <c r="AP208" i="1"/>
  <c r="AO208" i="1"/>
  <c r="AV208" i="1" s="1"/>
  <c r="AU207" i="1"/>
  <c r="AT207" i="1"/>
  <c r="AR207" i="1"/>
  <c r="AS207" i="1" s="1"/>
  <c r="AQ207" i="1"/>
  <c r="AP207" i="1"/>
  <c r="AO207" i="1"/>
  <c r="AU206" i="1"/>
  <c r="AT206" i="1"/>
  <c r="AR206" i="1"/>
  <c r="AS206" i="1" s="1"/>
  <c r="AQ206" i="1"/>
  <c r="AP206" i="1"/>
  <c r="AO206" i="1"/>
  <c r="AU205" i="1"/>
  <c r="AT205" i="1"/>
  <c r="AR205" i="1"/>
  <c r="AS205" i="1" s="1"/>
  <c r="AQ205" i="1"/>
  <c r="AP205" i="1"/>
  <c r="AO205" i="1"/>
  <c r="AV205" i="1" s="1"/>
  <c r="AU204" i="1"/>
  <c r="AT204" i="1"/>
  <c r="AR204" i="1"/>
  <c r="AS204" i="1" s="1"/>
  <c r="AQ204" i="1"/>
  <c r="AP204" i="1"/>
  <c r="AO204" i="1"/>
  <c r="AV204" i="1" s="1"/>
  <c r="AU203" i="1"/>
  <c r="AT203" i="1"/>
  <c r="AR203" i="1"/>
  <c r="AS203" i="1" s="1"/>
  <c r="AQ203" i="1"/>
  <c r="AP203" i="1"/>
  <c r="AO203" i="1"/>
  <c r="AU202" i="1"/>
  <c r="AT202" i="1"/>
  <c r="AR202" i="1"/>
  <c r="AS202" i="1" s="1"/>
  <c r="AQ202" i="1"/>
  <c r="AP202" i="1"/>
  <c r="AO202" i="1"/>
  <c r="AU201" i="1"/>
  <c r="AT201" i="1"/>
  <c r="AR201" i="1"/>
  <c r="AS201" i="1" s="1"/>
  <c r="AQ201" i="1"/>
  <c r="AP201" i="1"/>
  <c r="AO201" i="1"/>
  <c r="AV201" i="1" s="1"/>
  <c r="AU200" i="1"/>
  <c r="AT200" i="1"/>
  <c r="AR200" i="1"/>
  <c r="AS200" i="1" s="1"/>
  <c r="AQ200" i="1"/>
  <c r="AP200" i="1"/>
  <c r="AO200" i="1"/>
  <c r="AV200" i="1" s="1"/>
  <c r="AU199" i="1"/>
  <c r="AT199" i="1"/>
  <c r="AR199" i="1"/>
  <c r="AS199" i="1" s="1"/>
  <c r="AQ199" i="1"/>
  <c r="AP199" i="1"/>
  <c r="AO199" i="1"/>
  <c r="AU198" i="1"/>
  <c r="AT198" i="1"/>
  <c r="AR198" i="1"/>
  <c r="AS198" i="1" s="1"/>
  <c r="AQ198" i="1"/>
  <c r="AP198" i="1"/>
  <c r="AO198" i="1"/>
  <c r="AU197" i="1"/>
  <c r="AT197" i="1"/>
  <c r="AR197" i="1"/>
  <c r="AS197" i="1" s="1"/>
  <c r="AQ197" i="1"/>
  <c r="AP197" i="1"/>
  <c r="AO197" i="1"/>
  <c r="AV197" i="1" s="1"/>
  <c r="AU196" i="1"/>
  <c r="AT196" i="1"/>
  <c r="AR196" i="1"/>
  <c r="AS196" i="1" s="1"/>
  <c r="AQ196" i="1"/>
  <c r="AP196" i="1"/>
  <c r="AO196" i="1"/>
  <c r="AV196" i="1" s="1"/>
  <c r="AU195" i="1"/>
  <c r="AT195" i="1"/>
  <c r="AR195" i="1"/>
  <c r="AS195" i="1" s="1"/>
  <c r="AQ195" i="1"/>
  <c r="AP195" i="1"/>
  <c r="AO195" i="1"/>
  <c r="AU194" i="1"/>
  <c r="AT194" i="1"/>
  <c r="AR194" i="1"/>
  <c r="AS194" i="1" s="1"/>
  <c r="AQ194" i="1"/>
  <c r="AP194" i="1"/>
  <c r="AO194" i="1"/>
  <c r="AU193" i="1"/>
  <c r="AT193" i="1"/>
  <c r="AR193" i="1"/>
  <c r="AS193" i="1" s="1"/>
  <c r="AQ193" i="1"/>
  <c r="AP193" i="1"/>
  <c r="AO193" i="1"/>
  <c r="AV193" i="1" s="1"/>
  <c r="AU192" i="1"/>
  <c r="AT192" i="1"/>
  <c r="AR192" i="1"/>
  <c r="AS192" i="1" s="1"/>
  <c r="AQ192" i="1"/>
  <c r="AP192" i="1"/>
  <c r="AO192" i="1"/>
  <c r="AV192" i="1" s="1"/>
  <c r="AU191" i="1"/>
  <c r="AT191" i="1"/>
  <c r="AR191" i="1"/>
  <c r="AS191" i="1" s="1"/>
  <c r="AQ191" i="1"/>
  <c r="AP191" i="1"/>
  <c r="AO191" i="1"/>
  <c r="AU190" i="1"/>
  <c r="AT190" i="1"/>
  <c r="AR190" i="1"/>
  <c r="AS190" i="1" s="1"/>
  <c r="AQ190" i="1"/>
  <c r="AP190" i="1"/>
  <c r="AO190" i="1"/>
  <c r="AU189" i="1"/>
  <c r="AT189" i="1"/>
  <c r="AR189" i="1"/>
  <c r="AS189" i="1" s="1"/>
  <c r="AQ189" i="1"/>
  <c r="AP189" i="1"/>
  <c r="AO189" i="1"/>
  <c r="AV189" i="1" s="1"/>
  <c r="AU188" i="1"/>
  <c r="AT188" i="1"/>
  <c r="AR188" i="1"/>
  <c r="AS188" i="1" s="1"/>
  <c r="AQ188" i="1"/>
  <c r="AP188" i="1"/>
  <c r="AO188" i="1"/>
  <c r="AV188" i="1" s="1"/>
  <c r="AU187" i="1"/>
  <c r="AT187" i="1"/>
  <c r="AR187" i="1"/>
  <c r="AS187" i="1" s="1"/>
  <c r="AQ187" i="1"/>
  <c r="AP187" i="1"/>
  <c r="AO187" i="1"/>
  <c r="AU186" i="1"/>
  <c r="AT186" i="1"/>
  <c r="AR186" i="1"/>
  <c r="AS186" i="1" s="1"/>
  <c r="AQ186" i="1"/>
  <c r="AP186" i="1"/>
  <c r="AO186" i="1"/>
  <c r="AU185" i="1"/>
  <c r="AT185" i="1"/>
  <c r="AR185" i="1"/>
  <c r="AS185" i="1" s="1"/>
  <c r="AQ185" i="1"/>
  <c r="AP185" i="1"/>
  <c r="AO185" i="1"/>
  <c r="AV185" i="1" s="1"/>
  <c r="AU184" i="1"/>
  <c r="AT184" i="1"/>
  <c r="AR184" i="1"/>
  <c r="AS184" i="1" s="1"/>
  <c r="AQ184" i="1"/>
  <c r="AP184" i="1"/>
  <c r="AO184" i="1"/>
  <c r="AV184" i="1" s="1"/>
  <c r="AU183" i="1"/>
  <c r="AT183" i="1"/>
  <c r="AR183" i="1"/>
  <c r="AS183" i="1" s="1"/>
  <c r="AQ183" i="1"/>
  <c r="AP183" i="1"/>
  <c r="AO183" i="1"/>
  <c r="AU182" i="1"/>
  <c r="AT182" i="1"/>
  <c r="AR182" i="1"/>
  <c r="AS182" i="1" s="1"/>
  <c r="AQ182" i="1"/>
  <c r="AP182" i="1"/>
  <c r="AO182" i="1"/>
  <c r="AU181" i="1"/>
  <c r="AT181" i="1"/>
  <c r="AR181" i="1"/>
  <c r="AS181" i="1" s="1"/>
  <c r="AQ181" i="1"/>
  <c r="AP181" i="1"/>
  <c r="AO181" i="1"/>
  <c r="AV181" i="1" s="1"/>
  <c r="AU180" i="1"/>
  <c r="AT180" i="1"/>
  <c r="AR180" i="1"/>
  <c r="AS180" i="1" s="1"/>
  <c r="AQ180" i="1"/>
  <c r="AP180" i="1"/>
  <c r="AO180" i="1"/>
  <c r="AV180" i="1" s="1"/>
  <c r="AU179" i="1"/>
  <c r="AT179" i="1"/>
  <c r="AR179" i="1"/>
  <c r="AS179" i="1" s="1"/>
  <c r="AQ179" i="1"/>
  <c r="AP179" i="1"/>
  <c r="AO179" i="1"/>
  <c r="AU178" i="1"/>
  <c r="AT178" i="1"/>
  <c r="AR178" i="1"/>
  <c r="AS178" i="1" s="1"/>
  <c r="AQ178" i="1"/>
  <c r="AP178" i="1"/>
  <c r="AO178" i="1"/>
  <c r="AU177" i="1"/>
  <c r="AT177" i="1"/>
  <c r="AR177" i="1"/>
  <c r="AS177" i="1" s="1"/>
  <c r="AQ177" i="1"/>
  <c r="AP177" i="1"/>
  <c r="AO177" i="1"/>
  <c r="AV177" i="1" s="1"/>
  <c r="AU176" i="1"/>
  <c r="AT176" i="1"/>
  <c r="AR176" i="1"/>
  <c r="AS176" i="1" s="1"/>
  <c r="AQ176" i="1"/>
  <c r="AP176" i="1"/>
  <c r="AO176" i="1"/>
  <c r="AV176" i="1" s="1"/>
  <c r="AU175" i="1"/>
  <c r="AT175" i="1"/>
  <c r="AR175" i="1"/>
  <c r="AS175" i="1" s="1"/>
  <c r="AQ175" i="1"/>
  <c r="AP175" i="1"/>
  <c r="AO175" i="1"/>
  <c r="AU174" i="1"/>
  <c r="AT174" i="1"/>
  <c r="AR174" i="1"/>
  <c r="AS174" i="1" s="1"/>
  <c r="AQ174" i="1"/>
  <c r="AP174" i="1"/>
  <c r="AO174" i="1"/>
  <c r="AU173" i="1"/>
  <c r="AT173" i="1"/>
  <c r="AR173" i="1"/>
  <c r="AS173" i="1" s="1"/>
  <c r="AQ173" i="1"/>
  <c r="AP173" i="1"/>
  <c r="AO173" i="1"/>
  <c r="AV173" i="1" s="1"/>
  <c r="AU172" i="1"/>
  <c r="AT172" i="1"/>
  <c r="AR172" i="1"/>
  <c r="AS172" i="1" s="1"/>
  <c r="AQ172" i="1"/>
  <c r="AP172" i="1"/>
  <c r="AO172" i="1"/>
  <c r="AV172" i="1" s="1"/>
  <c r="AU171" i="1"/>
  <c r="AT171" i="1"/>
  <c r="AR171" i="1"/>
  <c r="AS171" i="1" s="1"/>
  <c r="AQ171" i="1"/>
  <c r="AP171" i="1"/>
  <c r="AO171" i="1"/>
  <c r="AU170" i="1"/>
  <c r="AT170" i="1"/>
  <c r="AR170" i="1"/>
  <c r="AS170" i="1" s="1"/>
  <c r="AQ170" i="1"/>
  <c r="AP170" i="1"/>
  <c r="AO170" i="1"/>
  <c r="AU169" i="1"/>
  <c r="AT169" i="1"/>
  <c r="AR169" i="1"/>
  <c r="AS169" i="1" s="1"/>
  <c r="AQ169" i="1"/>
  <c r="AP169" i="1"/>
  <c r="AO169" i="1"/>
  <c r="AV169" i="1" s="1"/>
  <c r="AU168" i="1"/>
  <c r="AT168" i="1"/>
  <c r="AR168" i="1"/>
  <c r="AS168" i="1" s="1"/>
  <c r="AQ168" i="1"/>
  <c r="AP168" i="1"/>
  <c r="AO168" i="1"/>
  <c r="AV168" i="1" s="1"/>
  <c r="AU167" i="1"/>
  <c r="AT167" i="1"/>
  <c r="AR167" i="1"/>
  <c r="AS167" i="1" s="1"/>
  <c r="AQ167" i="1"/>
  <c r="AP167" i="1"/>
  <c r="AO167" i="1"/>
  <c r="AU166" i="1"/>
  <c r="AT166" i="1"/>
  <c r="AR166" i="1"/>
  <c r="AS166" i="1" s="1"/>
  <c r="AQ166" i="1"/>
  <c r="AP166" i="1"/>
  <c r="AO166" i="1"/>
  <c r="AU165" i="1"/>
  <c r="AT165" i="1"/>
  <c r="AR165" i="1"/>
  <c r="AS165" i="1" s="1"/>
  <c r="AQ165" i="1"/>
  <c r="AP165" i="1"/>
  <c r="AO165" i="1"/>
  <c r="AV165" i="1" s="1"/>
  <c r="AU164" i="1"/>
  <c r="AT164" i="1"/>
  <c r="AR164" i="1"/>
  <c r="AS164" i="1" s="1"/>
  <c r="AQ164" i="1"/>
  <c r="AP164" i="1"/>
  <c r="AO164" i="1"/>
  <c r="AV164" i="1" s="1"/>
  <c r="AU163" i="1"/>
  <c r="AT163" i="1"/>
  <c r="AR163" i="1"/>
  <c r="AS163" i="1" s="1"/>
  <c r="AQ163" i="1"/>
  <c r="AP163" i="1"/>
  <c r="AO163" i="1"/>
  <c r="AU162" i="1"/>
  <c r="AT162" i="1"/>
  <c r="AR162" i="1"/>
  <c r="AS162" i="1" s="1"/>
  <c r="AQ162" i="1"/>
  <c r="AP162" i="1"/>
  <c r="AO162" i="1"/>
  <c r="AU161" i="1"/>
  <c r="AT161" i="1"/>
  <c r="AR161" i="1"/>
  <c r="AS161" i="1" s="1"/>
  <c r="AQ161" i="1"/>
  <c r="AP161" i="1"/>
  <c r="AO161" i="1"/>
  <c r="AV161" i="1" s="1"/>
  <c r="AU160" i="1"/>
  <c r="AT160" i="1"/>
  <c r="AR160" i="1"/>
  <c r="AS160" i="1" s="1"/>
  <c r="AQ160" i="1"/>
  <c r="AP160" i="1"/>
  <c r="AO160" i="1"/>
  <c r="AV160" i="1" s="1"/>
  <c r="AU159" i="1"/>
  <c r="AT159" i="1"/>
  <c r="AR159" i="1"/>
  <c r="AS159" i="1" s="1"/>
  <c r="AQ159" i="1"/>
  <c r="AP159" i="1"/>
  <c r="AO159" i="1"/>
  <c r="AU158" i="1"/>
  <c r="AT158" i="1"/>
  <c r="AR158" i="1"/>
  <c r="AS158" i="1" s="1"/>
  <c r="AQ158" i="1"/>
  <c r="AP158" i="1"/>
  <c r="AO158" i="1"/>
  <c r="AU157" i="1"/>
  <c r="AT157" i="1"/>
  <c r="AR157" i="1"/>
  <c r="AS157" i="1" s="1"/>
  <c r="AQ157" i="1"/>
  <c r="AP157" i="1"/>
  <c r="AO157" i="1"/>
  <c r="AV157" i="1" s="1"/>
  <c r="AU156" i="1"/>
  <c r="AT156" i="1"/>
  <c r="AR156" i="1"/>
  <c r="AS156" i="1" s="1"/>
  <c r="AQ156" i="1"/>
  <c r="AP156" i="1"/>
  <c r="AO156" i="1"/>
  <c r="AV156" i="1" s="1"/>
  <c r="AU155" i="1"/>
  <c r="AT155" i="1"/>
  <c r="AR155" i="1"/>
  <c r="AS155" i="1" s="1"/>
  <c r="AQ155" i="1"/>
  <c r="AP155" i="1"/>
  <c r="AO155" i="1"/>
  <c r="AU154" i="1"/>
  <c r="AT154" i="1"/>
  <c r="AR154" i="1"/>
  <c r="AS154" i="1" s="1"/>
  <c r="AQ154" i="1"/>
  <c r="AP154" i="1"/>
  <c r="AO154" i="1"/>
  <c r="AU153" i="1"/>
  <c r="AT153" i="1"/>
  <c r="AR153" i="1"/>
  <c r="AS153" i="1" s="1"/>
  <c r="AQ153" i="1"/>
  <c r="AP153" i="1"/>
  <c r="AO153" i="1"/>
  <c r="AV153" i="1" s="1"/>
  <c r="AU152" i="1"/>
  <c r="AT152" i="1"/>
  <c r="AR152" i="1"/>
  <c r="AS152" i="1" s="1"/>
  <c r="AQ152" i="1"/>
  <c r="AP152" i="1"/>
  <c r="AO152" i="1"/>
  <c r="AV152" i="1" s="1"/>
  <c r="AU151" i="1"/>
  <c r="AT151" i="1"/>
  <c r="AR151" i="1"/>
  <c r="AS151" i="1" s="1"/>
  <c r="AQ151" i="1"/>
  <c r="AP151" i="1"/>
  <c r="AO151" i="1"/>
  <c r="AU150" i="1"/>
  <c r="AT150" i="1"/>
  <c r="AR150" i="1"/>
  <c r="AS150" i="1" s="1"/>
  <c r="AQ150" i="1"/>
  <c r="AP150" i="1"/>
  <c r="AO150" i="1"/>
  <c r="AU149" i="1"/>
  <c r="AT149" i="1"/>
  <c r="AR149" i="1"/>
  <c r="AS149" i="1" s="1"/>
  <c r="AQ149" i="1"/>
  <c r="AP149" i="1"/>
  <c r="AO149" i="1"/>
  <c r="AV149" i="1" s="1"/>
  <c r="AU148" i="1"/>
  <c r="AT148" i="1"/>
  <c r="AR148" i="1"/>
  <c r="AS148" i="1" s="1"/>
  <c r="AQ148" i="1"/>
  <c r="AP148" i="1"/>
  <c r="AO148" i="1"/>
  <c r="AV148" i="1" s="1"/>
  <c r="AU147" i="1"/>
  <c r="AT147" i="1"/>
  <c r="AR147" i="1"/>
  <c r="AS147" i="1" s="1"/>
  <c r="AQ147" i="1"/>
  <c r="AP147" i="1"/>
  <c r="AO147" i="1"/>
  <c r="AU146" i="1"/>
  <c r="AT146" i="1"/>
  <c r="AR146" i="1"/>
  <c r="AS146" i="1" s="1"/>
  <c r="AQ146" i="1"/>
  <c r="AP146" i="1"/>
  <c r="AO146" i="1"/>
  <c r="AU145" i="1"/>
  <c r="AT145" i="1"/>
  <c r="AR145" i="1"/>
  <c r="AS145" i="1" s="1"/>
  <c r="AQ145" i="1"/>
  <c r="AP145" i="1"/>
  <c r="AO145" i="1"/>
  <c r="AV145" i="1" s="1"/>
  <c r="AU144" i="1"/>
  <c r="AT144" i="1"/>
  <c r="AR144" i="1"/>
  <c r="AS144" i="1" s="1"/>
  <c r="AQ144" i="1"/>
  <c r="AP144" i="1"/>
  <c r="AO144" i="1"/>
  <c r="AV144" i="1" s="1"/>
  <c r="AU143" i="1"/>
  <c r="AT143" i="1"/>
  <c r="AR143" i="1"/>
  <c r="AS143" i="1" s="1"/>
  <c r="AQ143" i="1"/>
  <c r="AP143" i="1"/>
  <c r="AO143" i="1"/>
  <c r="AU142" i="1"/>
  <c r="AT142" i="1"/>
  <c r="AR142" i="1"/>
  <c r="AS142" i="1" s="1"/>
  <c r="AQ142" i="1"/>
  <c r="AP142" i="1"/>
  <c r="AO142" i="1"/>
  <c r="AU141" i="1"/>
  <c r="AT141" i="1"/>
  <c r="AR141" i="1"/>
  <c r="AS141" i="1" s="1"/>
  <c r="AQ141" i="1"/>
  <c r="AP141" i="1"/>
  <c r="AO141" i="1"/>
  <c r="AV141" i="1" s="1"/>
  <c r="AU140" i="1"/>
  <c r="AT140" i="1"/>
  <c r="AR140" i="1"/>
  <c r="AS140" i="1" s="1"/>
  <c r="AQ140" i="1"/>
  <c r="AP140" i="1"/>
  <c r="AO140" i="1"/>
  <c r="AV140" i="1" s="1"/>
  <c r="AU139" i="1"/>
  <c r="AT139" i="1"/>
  <c r="AR139" i="1"/>
  <c r="AS139" i="1" s="1"/>
  <c r="AQ139" i="1"/>
  <c r="AP139" i="1"/>
  <c r="AO139" i="1"/>
  <c r="AU138" i="1"/>
  <c r="AT138" i="1"/>
  <c r="AR138" i="1"/>
  <c r="AS138" i="1" s="1"/>
  <c r="AQ138" i="1"/>
  <c r="AP138" i="1"/>
  <c r="AO138" i="1"/>
  <c r="AU137" i="1"/>
  <c r="AT137" i="1"/>
  <c r="AR137" i="1"/>
  <c r="AS137" i="1" s="1"/>
  <c r="AQ137" i="1"/>
  <c r="AP137" i="1"/>
  <c r="AO137" i="1"/>
  <c r="AV137" i="1" s="1"/>
  <c r="AU136" i="1"/>
  <c r="AT136" i="1"/>
  <c r="AR136" i="1"/>
  <c r="AS136" i="1" s="1"/>
  <c r="AQ136" i="1"/>
  <c r="AP136" i="1"/>
  <c r="AO136" i="1"/>
  <c r="AV136" i="1" s="1"/>
  <c r="AU135" i="1"/>
  <c r="AT135" i="1"/>
  <c r="AR135" i="1"/>
  <c r="AS135" i="1" s="1"/>
  <c r="AQ135" i="1"/>
  <c r="AP135" i="1"/>
  <c r="AO135" i="1"/>
  <c r="AU134" i="1"/>
  <c r="AT134" i="1"/>
  <c r="AR134" i="1"/>
  <c r="AS134" i="1" s="1"/>
  <c r="AQ134" i="1"/>
  <c r="AP134" i="1"/>
  <c r="AO134" i="1"/>
  <c r="AU133" i="1"/>
  <c r="AT133" i="1"/>
  <c r="AR133" i="1"/>
  <c r="AS133" i="1" s="1"/>
  <c r="AQ133" i="1"/>
  <c r="AP133" i="1"/>
  <c r="AO133" i="1"/>
  <c r="AV133" i="1" s="1"/>
  <c r="AU132" i="1"/>
  <c r="AT132" i="1"/>
  <c r="AR132" i="1"/>
  <c r="AS132" i="1" s="1"/>
  <c r="AQ132" i="1"/>
  <c r="AP132" i="1"/>
  <c r="AO132" i="1"/>
  <c r="AV132" i="1" s="1"/>
  <c r="AU131" i="1"/>
  <c r="AT131" i="1"/>
  <c r="AR131" i="1"/>
  <c r="AS131" i="1" s="1"/>
  <c r="AQ131" i="1"/>
  <c r="AP131" i="1"/>
  <c r="AO131" i="1"/>
  <c r="AU130" i="1"/>
  <c r="AT130" i="1"/>
  <c r="AR130" i="1"/>
  <c r="AS130" i="1" s="1"/>
  <c r="AQ130" i="1"/>
  <c r="AP130" i="1"/>
  <c r="AO130" i="1"/>
  <c r="AU129" i="1"/>
  <c r="AT129" i="1"/>
  <c r="AR129" i="1"/>
  <c r="AS129" i="1" s="1"/>
  <c r="AQ129" i="1"/>
  <c r="AP129" i="1"/>
  <c r="AO129" i="1"/>
  <c r="AV129" i="1" s="1"/>
  <c r="AU128" i="1"/>
  <c r="AT128" i="1"/>
  <c r="AR128" i="1"/>
  <c r="AS128" i="1" s="1"/>
  <c r="AQ128" i="1"/>
  <c r="AP128" i="1"/>
  <c r="AO128" i="1"/>
  <c r="AV128" i="1" s="1"/>
  <c r="AU127" i="1"/>
  <c r="AT127" i="1"/>
  <c r="AR127" i="1"/>
  <c r="AS127" i="1" s="1"/>
  <c r="AQ127" i="1"/>
  <c r="AP127" i="1"/>
  <c r="AO127" i="1"/>
  <c r="AU126" i="1"/>
  <c r="AT126" i="1"/>
  <c r="AR126" i="1"/>
  <c r="AS126" i="1" s="1"/>
  <c r="AQ126" i="1"/>
  <c r="AP126" i="1"/>
  <c r="AO126" i="1"/>
  <c r="AU125" i="1"/>
  <c r="AT125" i="1"/>
  <c r="AR125" i="1"/>
  <c r="AS125" i="1" s="1"/>
  <c r="AQ125" i="1"/>
  <c r="AP125" i="1"/>
  <c r="AO125" i="1"/>
  <c r="AV125" i="1" s="1"/>
  <c r="AU124" i="1"/>
  <c r="AT124" i="1"/>
  <c r="AR124" i="1"/>
  <c r="AS124" i="1" s="1"/>
  <c r="AQ124" i="1"/>
  <c r="AP124" i="1"/>
  <c r="AO124" i="1"/>
  <c r="AV124" i="1" s="1"/>
  <c r="AU123" i="1"/>
  <c r="AT123" i="1"/>
  <c r="AR123" i="1"/>
  <c r="AS123" i="1" s="1"/>
  <c r="AQ123" i="1"/>
  <c r="AP123" i="1"/>
  <c r="AO123" i="1"/>
  <c r="AU122" i="1"/>
  <c r="AT122" i="1"/>
  <c r="AR122" i="1"/>
  <c r="AS122" i="1" s="1"/>
  <c r="AQ122" i="1"/>
  <c r="AP122" i="1"/>
  <c r="AO122" i="1"/>
  <c r="AU121" i="1"/>
  <c r="AT121" i="1"/>
  <c r="AR121" i="1"/>
  <c r="AS121" i="1" s="1"/>
  <c r="AQ121" i="1"/>
  <c r="AP121" i="1"/>
  <c r="AO121" i="1"/>
  <c r="AV121" i="1" s="1"/>
  <c r="AU120" i="1"/>
  <c r="AT120" i="1"/>
  <c r="AR120" i="1"/>
  <c r="AS120" i="1" s="1"/>
  <c r="AQ120" i="1"/>
  <c r="AP120" i="1"/>
  <c r="AO120" i="1"/>
  <c r="AV120" i="1" s="1"/>
  <c r="AU119" i="1"/>
  <c r="AT119" i="1"/>
  <c r="AR119" i="1"/>
  <c r="AS119" i="1" s="1"/>
  <c r="AQ119" i="1"/>
  <c r="AP119" i="1"/>
  <c r="AO119" i="1"/>
  <c r="AU118" i="1"/>
  <c r="AT118" i="1"/>
  <c r="AR118" i="1"/>
  <c r="AS118" i="1" s="1"/>
  <c r="AQ118" i="1"/>
  <c r="AP118" i="1"/>
  <c r="AO118" i="1"/>
  <c r="AU117" i="1"/>
  <c r="AT117" i="1"/>
  <c r="AR117" i="1"/>
  <c r="AS117" i="1" s="1"/>
  <c r="AQ117" i="1"/>
  <c r="AP117" i="1"/>
  <c r="AO117" i="1"/>
  <c r="AV117" i="1" s="1"/>
  <c r="AU116" i="1"/>
  <c r="AT116" i="1"/>
  <c r="AR116" i="1"/>
  <c r="AS116" i="1" s="1"/>
  <c r="AQ116" i="1"/>
  <c r="AP116" i="1"/>
  <c r="AO116" i="1"/>
  <c r="AV116" i="1" s="1"/>
  <c r="AU115" i="1"/>
  <c r="AT115" i="1"/>
  <c r="AR115" i="1"/>
  <c r="AS115" i="1" s="1"/>
  <c r="AQ115" i="1"/>
  <c r="AP115" i="1"/>
  <c r="AO115" i="1"/>
  <c r="AU114" i="1"/>
  <c r="AT114" i="1"/>
  <c r="AR114" i="1"/>
  <c r="AS114" i="1" s="1"/>
  <c r="AQ114" i="1"/>
  <c r="AP114" i="1"/>
  <c r="AO114" i="1"/>
  <c r="AU113" i="1"/>
  <c r="AT113" i="1"/>
  <c r="AR113" i="1"/>
  <c r="AS113" i="1" s="1"/>
  <c r="AQ113" i="1"/>
  <c r="AP113" i="1"/>
  <c r="AO113" i="1"/>
  <c r="AV113" i="1" s="1"/>
  <c r="AU112" i="1"/>
  <c r="AT112" i="1"/>
  <c r="AR112" i="1"/>
  <c r="AS112" i="1" s="1"/>
  <c r="AQ112" i="1"/>
  <c r="AP112" i="1"/>
  <c r="AO112" i="1"/>
  <c r="AV112" i="1" s="1"/>
  <c r="AU111" i="1"/>
  <c r="AT111" i="1"/>
  <c r="AR111" i="1"/>
  <c r="AS111" i="1" s="1"/>
  <c r="AQ111" i="1"/>
  <c r="AP111" i="1"/>
  <c r="AO111" i="1"/>
  <c r="AU110" i="1"/>
  <c r="AT110" i="1"/>
  <c r="AR110" i="1"/>
  <c r="AS110" i="1" s="1"/>
  <c r="AQ110" i="1"/>
  <c r="AP110" i="1"/>
  <c r="AO110" i="1"/>
  <c r="AU109" i="1"/>
  <c r="AT109" i="1"/>
  <c r="AR109" i="1"/>
  <c r="AS109" i="1" s="1"/>
  <c r="AQ109" i="1"/>
  <c r="AP109" i="1"/>
  <c r="AO109" i="1"/>
  <c r="AV109" i="1" s="1"/>
  <c r="AU108" i="1"/>
  <c r="AT108" i="1"/>
  <c r="AR108" i="1"/>
  <c r="AS108" i="1" s="1"/>
  <c r="AQ108" i="1"/>
  <c r="AP108" i="1"/>
  <c r="AO108" i="1"/>
  <c r="AV108" i="1" s="1"/>
  <c r="AU107" i="1"/>
  <c r="AT107" i="1"/>
  <c r="AR107" i="1"/>
  <c r="AS107" i="1" s="1"/>
  <c r="AQ107" i="1"/>
  <c r="AP107" i="1"/>
  <c r="AO107" i="1"/>
  <c r="AU106" i="1"/>
  <c r="AT106" i="1"/>
  <c r="AR106" i="1"/>
  <c r="AS106" i="1" s="1"/>
  <c r="AQ106" i="1"/>
  <c r="AP106" i="1"/>
  <c r="AO106" i="1"/>
  <c r="AU105" i="1"/>
  <c r="AT105" i="1"/>
  <c r="AR105" i="1"/>
  <c r="AS105" i="1" s="1"/>
  <c r="AQ105" i="1"/>
  <c r="AP105" i="1"/>
  <c r="AO105" i="1"/>
  <c r="AV105" i="1" s="1"/>
  <c r="AU104" i="1"/>
  <c r="AT104" i="1"/>
  <c r="AR104" i="1"/>
  <c r="AS104" i="1" s="1"/>
  <c r="AQ104" i="1"/>
  <c r="AP104" i="1"/>
  <c r="AO104" i="1"/>
  <c r="AV104" i="1" s="1"/>
  <c r="AU103" i="1"/>
  <c r="AT103" i="1"/>
  <c r="AR103" i="1"/>
  <c r="AS103" i="1" s="1"/>
  <c r="AQ103" i="1"/>
  <c r="AP103" i="1"/>
  <c r="AO103" i="1"/>
  <c r="AU102" i="1"/>
  <c r="AT102" i="1"/>
  <c r="AR102" i="1"/>
  <c r="AS102" i="1" s="1"/>
  <c r="AQ102" i="1"/>
  <c r="AP102" i="1"/>
  <c r="AO102" i="1"/>
  <c r="AU101" i="1"/>
  <c r="AT101" i="1"/>
  <c r="AR101" i="1"/>
  <c r="AS101" i="1" s="1"/>
  <c r="AQ101" i="1"/>
  <c r="AP101" i="1"/>
  <c r="AO101" i="1"/>
  <c r="AV101" i="1" s="1"/>
  <c r="AU100" i="1"/>
  <c r="AT100" i="1"/>
  <c r="AR100" i="1"/>
  <c r="AS100" i="1" s="1"/>
  <c r="AQ100" i="1"/>
  <c r="AP100" i="1"/>
  <c r="AO100" i="1"/>
  <c r="AV100" i="1" s="1"/>
  <c r="AU99" i="1"/>
  <c r="AT99" i="1"/>
  <c r="AR99" i="1"/>
  <c r="AS99" i="1" s="1"/>
  <c r="AQ99" i="1"/>
  <c r="AP99" i="1"/>
  <c r="AO99" i="1"/>
  <c r="AU98" i="1"/>
  <c r="AT98" i="1"/>
  <c r="AR98" i="1"/>
  <c r="AS98" i="1" s="1"/>
  <c r="AQ98" i="1"/>
  <c r="AP98" i="1"/>
  <c r="AO98" i="1"/>
  <c r="AU97" i="1"/>
  <c r="AT97" i="1"/>
  <c r="AR97" i="1"/>
  <c r="AS97" i="1" s="1"/>
  <c r="AQ97" i="1"/>
  <c r="AP97" i="1"/>
  <c r="AO97" i="1"/>
  <c r="AV97" i="1" s="1"/>
  <c r="AU96" i="1"/>
  <c r="AT96" i="1"/>
  <c r="AR96" i="1"/>
  <c r="AS96" i="1" s="1"/>
  <c r="AQ96" i="1"/>
  <c r="AP96" i="1"/>
  <c r="AO96" i="1"/>
  <c r="AV96" i="1" s="1"/>
  <c r="AU95" i="1"/>
  <c r="AT95" i="1"/>
  <c r="AR95" i="1"/>
  <c r="AS95" i="1" s="1"/>
  <c r="AQ95" i="1"/>
  <c r="AP95" i="1"/>
  <c r="AO95" i="1"/>
  <c r="AU94" i="1"/>
  <c r="AT94" i="1"/>
  <c r="AR94" i="1"/>
  <c r="AS94" i="1" s="1"/>
  <c r="AQ94" i="1"/>
  <c r="AP94" i="1"/>
  <c r="AO94" i="1"/>
  <c r="AU93" i="1"/>
  <c r="AT93" i="1"/>
  <c r="AR93" i="1"/>
  <c r="AS93" i="1" s="1"/>
  <c r="AQ93" i="1"/>
  <c r="AP93" i="1"/>
  <c r="AO93" i="1"/>
  <c r="AV93" i="1" s="1"/>
  <c r="AU92" i="1"/>
  <c r="AT92" i="1"/>
  <c r="AR92" i="1"/>
  <c r="AS92" i="1" s="1"/>
  <c r="AQ92" i="1"/>
  <c r="AP92" i="1"/>
  <c r="AO92" i="1"/>
  <c r="AV92" i="1" s="1"/>
  <c r="AU91" i="1"/>
  <c r="AT91" i="1"/>
  <c r="AR91" i="1"/>
  <c r="AS91" i="1" s="1"/>
  <c r="AQ91" i="1"/>
  <c r="AP91" i="1"/>
  <c r="AO91" i="1"/>
  <c r="AU90" i="1"/>
  <c r="AT90" i="1"/>
  <c r="AR90" i="1"/>
  <c r="AS90" i="1" s="1"/>
  <c r="AQ90" i="1"/>
  <c r="AP90" i="1"/>
  <c r="AO90" i="1"/>
  <c r="AU89" i="1"/>
  <c r="AT89" i="1"/>
  <c r="AR89" i="1"/>
  <c r="AS89" i="1" s="1"/>
  <c r="AQ89" i="1"/>
  <c r="AP89" i="1"/>
  <c r="AO89" i="1"/>
  <c r="AV89" i="1" s="1"/>
  <c r="AU88" i="1"/>
  <c r="AT88" i="1"/>
  <c r="AR88" i="1"/>
  <c r="AS88" i="1" s="1"/>
  <c r="AQ88" i="1"/>
  <c r="AP88" i="1"/>
  <c r="AO88" i="1"/>
  <c r="AV88" i="1" s="1"/>
  <c r="AU87" i="1"/>
  <c r="AT87" i="1"/>
  <c r="AR87" i="1"/>
  <c r="AS87" i="1" s="1"/>
  <c r="AQ87" i="1"/>
  <c r="AP87" i="1"/>
  <c r="AO87" i="1"/>
  <c r="AU86" i="1"/>
  <c r="AT86" i="1"/>
  <c r="AR86" i="1"/>
  <c r="AS86" i="1" s="1"/>
  <c r="AQ86" i="1"/>
  <c r="AP86" i="1"/>
  <c r="AO86" i="1"/>
  <c r="AU85" i="1"/>
  <c r="AT85" i="1"/>
  <c r="AR85" i="1"/>
  <c r="AS85" i="1" s="1"/>
  <c r="AQ85" i="1"/>
  <c r="AP85" i="1"/>
  <c r="AO85" i="1"/>
  <c r="AV85" i="1" s="1"/>
  <c r="AU84" i="1"/>
  <c r="AT84" i="1"/>
  <c r="AR84" i="1"/>
  <c r="AS84" i="1" s="1"/>
  <c r="AQ84" i="1"/>
  <c r="AP84" i="1"/>
  <c r="AO84" i="1"/>
  <c r="AV84" i="1" s="1"/>
  <c r="AU83" i="1"/>
  <c r="AT83" i="1"/>
  <c r="AR83" i="1"/>
  <c r="AS83" i="1" s="1"/>
  <c r="AQ83" i="1"/>
  <c r="AP83" i="1"/>
  <c r="AO83" i="1"/>
  <c r="AU82" i="1"/>
  <c r="AT82" i="1"/>
  <c r="AR82" i="1"/>
  <c r="AS82" i="1" s="1"/>
  <c r="AQ82" i="1"/>
  <c r="AP82" i="1"/>
  <c r="AO82" i="1"/>
  <c r="AU81" i="1"/>
  <c r="AT81" i="1"/>
  <c r="AR81" i="1"/>
  <c r="AS81" i="1" s="1"/>
  <c r="AQ81" i="1"/>
  <c r="AP81" i="1"/>
  <c r="AO81" i="1"/>
  <c r="AV81" i="1" s="1"/>
  <c r="AU80" i="1"/>
  <c r="AT80" i="1"/>
  <c r="AR80" i="1"/>
  <c r="AS80" i="1" s="1"/>
  <c r="AQ80" i="1"/>
  <c r="AP80" i="1"/>
  <c r="AO80" i="1"/>
  <c r="AV80" i="1" s="1"/>
  <c r="AU79" i="1"/>
  <c r="AT79" i="1"/>
  <c r="AR79" i="1"/>
  <c r="AS79" i="1" s="1"/>
  <c r="AQ79" i="1"/>
  <c r="AP79" i="1"/>
  <c r="AO79" i="1"/>
  <c r="AU78" i="1"/>
  <c r="AT78" i="1"/>
  <c r="AR78" i="1"/>
  <c r="AS78" i="1" s="1"/>
  <c r="AQ78" i="1"/>
  <c r="AP78" i="1"/>
  <c r="AO78" i="1"/>
  <c r="AU77" i="1"/>
  <c r="AT77" i="1"/>
  <c r="AR77" i="1"/>
  <c r="AS77" i="1" s="1"/>
  <c r="AQ77" i="1"/>
  <c r="AP77" i="1"/>
  <c r="AO77" i="1"/>
  <c r="AV77" i="1" s="1"/>
  <c r="AU76" i="1"/>
  <c r="AT76" i="1"/>
  <c r="AR76" i="1"/>
  <c r="AS76" i="1" s="1"/>
  <c r="AQ76" i="1"/>
  <c r="AP76" i="1"/>
  <c r="AO76" i="1"/>
  <c r="AV76" i="1" s="1"/>
  <c r="AU75" i="1"/>
  <c r="AT75" i="1"/>
  <c r="AR75" i="1"/>
  <c r="AS75" i="1" s="1"/>
  <c r="AQ75" i="1"/>
  <c r="AP75" i="1"/>
  <c r="AO75" i="1"/>
  <c r="AU74" i="1"/>
  <c r="AT74" i="1"/>
  <c r="AR74" i="1"/>
  <c r="AS74" i="1" s="1"/>
  <c r="AQ74" i="1"/>
  <c r="AP74" i="1"/>
  <c r="AO74" i="1"/>
  <c r="AU73" i="1"/>
  <c r="AT73" i="1"/>
  <c r="AR73" i="1"/>
  <c r="AS73" i="1" s="1"/>
  <c r="AQ73" i="1"/>
  <c r="AP73" i="1"/>
  <c r="AO73" i="1"/>
  <c r="AV73" i="1" s="1"/>
  <c r="AU72" i="1"/>
  <c r="AT72" i="1"/>
  <c r="AR72" i="1"/>
  <c r="AS72" i="1" s="1"/>
  <c r="AQ72" i="1"/>
  <c r="AP72" i="1"/>
  <c r="AO72" i="1"/>
  <c r="AV72" i="1" s="1"/>
  <c r="AU71" i="1"/>
  <c r="AT71" i="1"/>
  <c r="AR71" i="1"/>
  <c r="AS71" i="1" s="1"/>
  <c r="AQ71" i="1"/>
  <c r="AP71" i="1"/>
  <c r="AO71" i="1"/>
  <c r="AU70" i="1"/>
  <c r="AT70" i="1"/>
  <c r="AR70" i="1"/>
  <c r="AS70" i="1" s="1"/>
  <c r="AQ70" i="1"/>
  <c r="AP70" i="1"/>
  <c r="AO70" i="1"/>
  <c r="AU69" i="1"/>
  <c r="AT69" i="1"/>
  <c r="AR69" i="1"/>
  <c r="AS69" i="1" s="1"/>
  <c r="AQ69" i="1"/>
  <c r="AP69" i="1"/>
  <c r="AO69" i="1"/>
  <c r="AV69" i="1" s="1"/>
  <c r="AU68" i="1"/>
  <c r="AT68" i="1"/>
  <c r="AR68" i="1"/>
  <c r="AS68" i="1" s="1"/>
  <c r="AQ68" i="1"/>
  <c r="AP68" i="1"/>
  <c r="AO68" i="1"/>
  <c r="AV68" i="1" s="1"/>
  <c r="AU67" i="1"/>
  <c r="AT67" i="1"/>
  <c r="AR67" i="1"/>
  <c r="AS67" i="1" s="1"/>
  <c r="AQ67" i="1"/>
  <c r="AP67" i="1"/>
  <c r="AO67" i="1"/>
  <c r="AU66" i="1"/>
  <c r="AT66" i="1"/>
  <c r="AR66" i="1"/>
  <c r="AS66" i="1" s="1"/>
  <c r="AQ66" i="1"/>
  <c r="AP66" i="1"/>
  <c r="AO66" i="1"/>
  <c r="AU65" i="1"/>
  <c r="AT65" i="1"/>
  <c r="AR65" i="1"/>
  <c r="AS65" i="1" s="1"/>
  <c r="AQ65" i="1"/>
  <c r="AP65" i="1"/>
  <c r="AO65" i="1"/>
  <c r="AV65" i="1" s="1"/>
  <c r="AU64" i="1"/>
  <c r="AT64" i="1"/>
  <c r="AR64" i="1"/>
  <c r="AS64" i="1" s="1"/>
  <c r="AQ64" i="1"/>
  <c r="AP64" i="1"/>
  <c r="AO64" i="1"/>
  <c r="AV64" i="1" s="1"/>
  <c r="AU63" i="1"/>
  <c r="AT63" i="1"/>
  <c r="AR63" i="1"/>
  <c r="AS63" i="1" s="1"/>
  <c r="AQ63" i="1"/>
  <c r="AP63" i="1"/>
  <c r="AO63" i="1"/>
  <c r="AU62" i="1"/>
  <c r="AT62" i="1"/>
  <c r="AR62" i="1"/>
  <c r="AS62" i="1" s="1"/>
  <c r="AQ62" i="1"/>
  <c r="AP62" i="1"/>
  <c r="AO62" i="1"/>
  <c r="AU61" i="1"/>
  <c r="AT61" i="1"/>
  <c r="AR61" i="1"/>
  <c r="AS61" i="1" s="1"/>
  <c r="AQ61" i="1"/>
  <c r="AP61" i="1"/>
  <c r="AO61" i="1"/>
  <c r="AV61" i="1" s="1"/>
  <c r="AU60" i="1"/>
  <c r="AT60" i="1"/>
  <c r="AR60" i="1"/>
  <c r="AS60" i="1" s="1"/>
  <c r="AQ60" i="1"/>
  <c r="AP60" i="1"/>
  <c r="AO60" i="1"/>
  <c r="AV60" i="1" s="1"/>
  <c r="AU59" i="1"/>
  <c r="AT59" i="1"/>
  <c r="AR59" i="1"/>
  <c r="AS59" i="1" s="1"/>
  <c r="AQ59" i="1"/>
  <c r="AP59" i="1"/>
  <c r="AO59" i="1"/>
  <c r="AU58" i="1"/>
  <c r="AT58" i="1"/>
  <c r="AR58" i="1"/>
  <c r="AS58" i="1" s="1"/>
  <c r="AQ58" i="1"/>
  <c r="AP58" i="1"/>
  <c r="AO58" i="1"/>
  <c r="AU57" i="1"/>
  <c r="AT57" i="1"/>
  <c r="AR57" i="1"/>
  <c r="AS57" i="1" s="1"/>
  <c r="AQ57" i="1"/>
  <c r="AP57" i="1"/>
  <c r="AO57" i="1"/>
  <c r="AV57" i="1" s="1"/>
  <c r="AU56" i="1"/>
  <c r="AT56" i="1"/>
  <c r="AR56" i="1"/>
  <c r="AS56" i="1" s="1"/>
  <c r="AQ56" i="1"/>
  <c r="AP56" i="1"/>
  <c r="AO56" i="1"/>
  <c r="AV56" i="1" s="1"/>
  <c r="AU55" i="1"/>
  <c r="AT55" i="1"/>
  <c r="AR55" i="1"/>
  <c r="AS55" i="1" s="1"/>
  <c r="AQ55" i="1"/>
  <c r="AP55" i="1"/>
  <c r="AO55" i="1"/>
  <c r="AU54" i="1"/>
  <c r="AT54" i="1"/>
  <c r="AR54" i="1"/>
  <c r="AS54" i="1" s="1"/>
  <c r="AQ54" i="1"/>
  <c r="AP54" i="1"/>
  <c r="AO54" i="1"/>
  <c r="AU53" i="1"/>
  <c r="AT53" i="1"/>
  <c r="AR53" i="1"/>
  <c r="AS53" i="1" s="1"/>
  <c r="AQ53" i="1"/>
  <c r="AP53" i="1"/>
  <c r="AO53" i="1"/>
  <c r="AV53" i="1" s="1"/>
  <c r="AU52" i="1"/>
  <c r="AT52" i="1"/>
  <c r="AR52" i="1"/>
  <c r="AS52" i="1" s="1"/>
  <c r="AQ52" i="1"/>
  <c r="AP52" i="1"/>
  <c r="AO52" i="1"/>
  <c r="AV52" i="1" s="1"/>
  <c r="AU51" i="1"/>
  <c r="AT51" i="1"/>
  <c r="AR51" i="1"/>
  <c r="AS51" i="1" s="1"/>
  <c r="AQ51" i="1"/>
  <c r="AP51" i="1"/>
  <c r="AO51" i="1"/>
  <c r="AU50" i="1"/>
  <c r="AT50" i="1"/>
  <c r="AR50" i="1"/>
  <c r="AS50" i="1" s="1"/>
  <c r="AQ50" i="1"/>
  <c r="AP50" i="1"/>
  <c r="AO50" i="1"/>
  <c r="AU49" i="1"/>
  <c r="AT49" i="1"/>
  <c r="AR49" i="1"/>
  <c r="AS49" i="1" s="1"/>
  <c r="AQ49" i="1"/>
  <c r="AP49" i="1"/>
  <c r="AO49" i="1"/>
  <c r="AV49" i="1" s="1"/>
  <c r="AU48" i="1"/>
  <c r="AT48" i="1"/>
  <c r="AR48" i="1"/>
  <c r="AS48" i="1" s="1"/>
  <c r="AQ48" i="1"/>
  <c r="AP48" i="1"/>
  <c r="AO48" i="1"/>
  <c r="AV48" i="1" s="1"/>
  <c r="AU47" i="1"/>
  <c r="AT47" i="1"/>
  <c r="AR47" i="1"/>
  <c r="AS47" i="1" s="1"/>
  <c r="AQ47" i="1"/>
  <c r="AP47" i="1"/>
  <c r="AO47" i="1"/>
  <c r="AU46" i="1"/>
  <c r="AT46" i="1"/>
  <c r="AR46" i="1"/>
  <c r="AS46" i="1" s="1"/>
  <c r="AQ46" i="1"/>
  <c r="AP46" i="1"/>
  <c r="AO46" i="1"/>
  <c r="AU45" i="1"/>
  <c r="AT45" i="1"/>
  <c r="AR45" i="1"/>
  <c r="AS45" i="1" s="1"/>
  <c r="AQ45" i="1"/>
  <c r="AP45" i="1"/>
  <c r="AO45" i="1"/>
  <c r="AV45" i="1" s="1"/>
  <c r="AU44" i="1"/>
  <c r="AT44" i="1"/>
  <c r="AR44" i="1"/>
  <c r="AS44" i="1" s="1"/>
  <c r="AQ44" i="1"/>
  <c r="AP44" i="1"/>
  <c r="AO44" i="1"/>
  <c r="AU43" i="1"/>
  <c r="AT43" i="1"/>
  <c r="AR43" i="1"/>
  <c r="AS43" i="1" s="1"/>
  <c r="AQ43" i="1"/>
  <c r="AP43" i="1"/>
  <c r="AO43" i="1"/>
  <c r="AU42" i="1"/>
  <c r="AT42" i="1"/>
  <c r="AR42" i="1"/>
  <c r="AS42" i="1" s="1"/>
  <c r="AQ42" i="1"/>
  <c r="AP42" i="1"/>
  <c r="AO42" i="1"/>
  <c r="AU41" i="1"/>
  <c r="AT41" i="1"/>
  <c r="AR41" i="1"/>
  <c r="AS41" i="1" s="1"/>
  <c r="AQ41" i="1"/>
  <c r="AP41" i="1"/>
  <c r="AO41" i="1"/>
  <c r="AV41" i="1" s="1"/>
  <c r="AU40" i="1"/>
  <c r="AT40" i="1"/>
  <c r="AR40" i="1"/>
  <c r="AS40" i="1" s="1"/>
  <c r="AQ40" i="1"/>
  <c r="AP40" i="1"/>
  <c r="AO40" i="1"/>
  <c r="AU39" i="1"/>
  <c r="AT39" i="1"/>
  <c r="AR39" i="1"/>
  <c r="AS39" i="1" s="1"/>
  <c r="AQ39" i="1"/>
  <c r="AP39" i="1"/>
  <c r="AO39" i="1"/>
  <c r="AU38" i="1"/>
  <c r="AT38" i="1"/>
  <c r="AR38" i="1"/>
  <c r="AS38" i="1" s="1"/>
  <c r="AQ38" i="1"/>
  <c r="AP38" i="1"/>
  <c r="AO38" i="1"/>
  <c r="AU37" i="1"/>
  <c r="AT37" i="1"/>
  <c r="AR37" i="1"/>
  <c r="AS37" i="1" s="1"/>
  <c r="AQ37" i="1"/>
  <c r="AP37" i="1"/>
  <c r="AO37" i="1"/>
  <c r="AV37" i="1" s="1"/>
  <c r="AU36" i="1"/>
  <c r="AT36" i="1"/>
  <c r="AR36" i="1"/>
  <c r="AS36" i="1" s="1"/>
  <c r="AQ36" i="1"/>
  <c r="AP36" i="1"/>
  <c r="AO36" i="1"/>
  <c r="AU35" i="1"/>
  <c r="AT35" i="1"/>
  <c r="AR35" i="1"/>
  <c r="AS35" i="1" s="1"/>
  <c r="AQ35" i="1"/>
  <c r="AP35" i="1"/>
  <c r="AO35" i="1"/>
  <c r="AU34" i="1"/>
  <c r="AT34" i="1"/>
  <c r="AR34" i="1"/>
  <c r="AS34" i="1" s="1"/>
  <c r="AQ34" i="1"/>
  <c r="AP34" i="1"/>
  <c r="AO34" i="1"/>
  <c r="AU33" i="1"/>
  <c r="AT33" i="1"/>
  <c r="AR33" i="1"/>
  <c r="AS33" i="1" s="1"/>
  <c r="AQ33" i="1"/>
  <c r="AP33" i="1"/>
  <c r="AO33" i="1"/>
  <c r="AU32" i="1"/>
  <c r="AT32" i="1"/>
  <c r="AR32" i="1"/>
  <c r="AS32" i="1" s="1"/>
  <c r="AQ32" i="1"/>
  <c r="AP32" i="1"/>
  <c r="AO32" i="1"/>
  <c r="AU31" i="1"/>
  <c r="AT31" i="1"/>
  <c r="AR31" i="1"/>
  <c r="AS31" i="1" s="1"/>
  <c r="AQ31" i="1"/>
  <c r="AP31" i="1"/>
  <c r="AO31" i="1"/>
  <c r="AU30" i="1"/>
  <c r="AT30" i="1"/>
  <c r="AR30" i="1"/>
  <c r="AS30" i="1" s="1"/>
  <c r="AQ30" i="1"/>
  <c r="AP30" i="1"/>
  <c r="AO30" i="1"/>
  <c r="AU29" i="1"/>
  <c r="AT29" i="1"/>
  <c r="AR29" i="1"/>
  <c r="AS29" i="1" s="1"/>
  <c r="AQ29" i="1"/>
  <c r="AP29" i="1"/>
  <c r="AO29" i="1"/>
  <c r="AV29" i="1" s="1"/>
  <c r="AU28" i="1"/>
  <c r="AT28" i="1"/>
  <c r="AR28" i="1"/>
  <c r="AS28" i="1" s="1"/>
  <c r="AQ28" i="1"/>
  <c r="AP28" i="1"/>
  <c r="AO28" i="1"/>
  <c r="AU27" i="1"/>
  <c r="AT27" i="1"/>
  <c r="AR27" i="1"/>
  <c r="AS27" i="1" s="1"/>
  <c r="AQ27" i="1"/>
  <c r="AP27" i="1"/>
  <c r="AO27" i="1"/>
  <c r="AU26" i="1"/>
  <c r="AT26" i="1"/>
  <c r="AR26" i="1"/>
  <c r="AS26" i="1" s="1"/>
  <c r="AQ26" i="1"/>
  <c r="AP26" i="1"/>
  <c r="AO26" i="1"/>
  <c r="AU25" i="1"/>
  <c r="AT25" i="1"/>
  <c r="AR25" i="1"/>
  <c r="AS25" i="1" s="1"/>
  <c r="AQ25" i="1"/>
  <c r="AP25" i="1"/>
  <c r="AO25" i="1"/>
  <c r="AV25" i="1" s="1"/>
  <c r="AU24" i="1"/>
  <c r="AT24" i="1"/>
  <c r="AR24" i="1"/>
  <c r="AS24" i="1" s="1"/>
  <c r="AQ24" i="1"/>
  <c r="AP24" i="1"/>
  <c r="AO24" i="1"/>
  <c r="AV24" i="1" s="1"/>
  <c r="AU23" i="1"/>
  <c r="AT23" i="1"/>
  <c r="AR23" i="1"/>
  <c r="AS23" i="1" s="1"/>
  <c r="AQ23" i="1"/>
  <c r="AP23" i="1"/>
  <c r="AO23" i="1"/>
  <c r="AU22" i="1"/>
  <c r="AT22" i="1"/>
  <c r="AR22" i="1"/>
  <c r="AS22" i="1" s="1"/>
  <c r="AQ22" i="1"/>
  <c r="AP22" i="1"/>
  <c r="AO22" i="1"/>
  <c r="AU21" i="1"/>
  <c r="AT21" i="1"/>
  <c r="AR21" i="1"/>
  <c r="AS21" i="1" s="1"/>
  <c r="AQ21" i="1"/>
  <c r="AP21" i="1"/>
  <c r="AO21" i="1"/>
  <c r="AV21" i="1" s="1"/>
  <c r="AU20" i="1"/>
  <c r="AT20" i="1"/>
  <c r="AR20" i="1"/>
  <c r="AS20" i="1" s="1"/>
  <c r="AQ20" i="1"/>
  <c r="AP20" i="1"/>
  <c r="AO20" i="1"/>
  <c r="AU19" i="1"/>
  <c r="AT19" i="1"/>
  <c r="AR19" i="1"/>
  <c r="AS19" i="1" s="1"/>
  <c r="AQ19" i="1"/>
  <c r="AP19" i="1"/>
  <c r="AO19" i="1"/>
  <c r="AU18" i="1"/>
  <c r="AT18" i="1"/>
  <c r="AR18" i="1"/>
  <c r="AS18" i="1" s="1"/>
  <c r="AQ18" i="1"/>
  <c r="AP18" i="1"/>
  <c r="AO18" i="1"/>
  <c r="AU17" i="1"/>
  <c r="AT17" i="1"/>
  <c r="AR17" i="1"/>
  <c r="AS17" i="1" s="1"/>
  <c r="AQ17" i="1"/>
  <c r="AP17" i="1"/>
  <c r="AO17" i="1"/>
  <c r="AV17" i="1" s="1"/>
  <c r="AU16" i="1"/>
  <c r="AT16" i="1"/>
  <c r="AR16" i="1"/>
  <c r="AS16" i="1" s="1"/>
  <c r="AQ16" i="1"/>
  <c r="AP16" i="1"/>
  <c r="AO16" i="1"/>
  <c r="AU15" i="1"/>
  <c r="AT15" i="1"/>
  <c r="AR15" i="1"/>
  <c r="AS15" i="1" s="1"/>
  <c r="AQ15" i="1"/>
  <c r="AP15" i="1"/>
  <c r="AO15" i="1"/>
  <c r="AU14" i="1"/>
  <c r="AT14" i="1"/>
  <c r="AR14" i="1"/>
  <c r="AS14" i="1" s="1"/>
  <c r="AQ14" i="1"/>
  <c r="AP14" i="1"/>
  <c r="AO14" i="1"/>
  <c r="AU13" i="1"/>
  <c r="AT13" i="1"/>
  <c r="AR13" i="1"/>
  <c r="AS13" i="1" s="1"/>
  <c r="AQ13" i="1"/>
  <c r="AP13" i="1"/>
  <c r="AO13" i="1"/>
  <c r="AV13" i="1" s="1"/>
  <c r="AU12" i="1"/>
  <c r="AT12" i="1"/>
  <c r="AR12" i="1"/>
  <c r="AS12" i="1" s="1"/>
  <c r="AQ12" i="1"/>
  <c r="AP12" i="1"/>
  <c r="AO12" i="1"/>
  <c r="AU11" i="1"/>
  <c r="AT11" i="1"/>
  <c r="AR11" i="1"/>
  <c r="AS11" i="1" s="1"/>
  <c r="AQ11" i="1"/>
  <c r="AP11" i="1"/>
  <c r="AO11" i="1"/>
  <c r="AU10" i="1"/>
  <c r="AT10" i="1"/>
  <c r="AR10" i="1"/>
  <c r="AS10" i="1" s="1"/>
  <c r="AQ10" i="1"/>
  <c r="AP10" i="1"/>
  <c r="AO10" i="1"/>
  <c r="AU9" i="1"/>
  <c r="AT9" i="1"/>
  <c r="AR9" i="1"/>
  <c r="AS9" i="1" s="1"/>
  <c r="AQ9" i="1"/>
  <c r="AP9" i="1"/>
  <c r="AO9" i="1"/>
  <c r="AV9" i="1" s="1"/>
  <c r="AU8" i="1"/>
  <c r="AT8" i="1"/>
  <c r="AR8" i="1"/>
  <c r="AS8" i="1" s="1"/>
  <c r="AQ8" i="1"/>
  <c r="AP8" i="1"/>
  <c r="AO8" i="1"/>
  <c r="AU7" i="1"/>
  <c r="AT7" i="1"/>
  <c r="AR7" i="1"/>
  <c r="AS7" i="1" s="1"/>
  <c r="AQ7" i="1"/>
  <c r="AP7" i="1"/>
  <c r="AO7" i="1"/>
  <c r="AU6" i="1"/>
  <c r="AT6" i="1"/>
  <c r="AR6" i="1"/>
  <c r="AS6" i="1" s="1"/>
  <c r="AQ6" i="1"/>
  <c r="AP6" i="1"/>
  <c r="AO6" i="1"/>
  <c r="AU5" i="1"/>
  <c r="AT5" i="1"/>
  <c r="AR5" i="1"/>
  <c r="AS5" i="1" s="1"/>
  <c r="AQ5" i="1"/>
  <c r="AP5" i="1"/>
  <c r="AO5" i="1"/>
  <c r="AV5" i="1" s="1"/>
  <c r="AV8" i="1" l="1"/>
  <c r="AV12" i="1"/>
  <c r="AV16" i="1"/>
  <c r="AV20" i="1"/>
  <c r="AV28" i="1"/>
  <c r="AV36" i="1"/>
  <c r="AV7" i="1"/>
  <c r="AV11" i="1"/>
  <c r="AV15" i="1"/>
  <c r="AV19" i="1"/>
  <c r="AV23" i="1"/>
  <c r="AV27" i="1"/>
  <c r="AV31" i="1"/>
  <c r="AV35" i="1"/>
  <c r="AV39" i="1"/>
  <c r="AV43" i="1"/>
  <c r="AV47" i="1"/>
  <c r="AV51" i="1"/>
  <c r="AV55" i="1"/>
  <c r="AV59" i="1"/>
  <c r="AV63" i="1"/>
  <c r="AV67" i="1"/>
  <c r="AV71" i="1"/>
  <c r="AV75" i="1"/>
  <c r="AV79" i="1"/>
  <c r="AV83" i="1"/>
  <c r="AV87" i="1"/>
  <c r="AV91" i="1"/>
  <c r="AV95" i="1"/>
  <c r="AV99" i="1"/>
  <c r="AV103" i="1"/>
  <c r="AV107" i="1"/>
  <c r="AV111" i="1"/>
  <c r="AV115" i="1"/>
  <c r="AV119" i="1"/>
  <c r="AV123" i="1"/>
  <c r="AV127" i="1"/>
  <c r="AV131" i="1"/>
  <c r="AV135" i="1"/>
  <c r="AV139" i="1"/>
  <c r="AV143" i="1"/>
  <c r="AV147" i="1"/>
  <c r="AV151" i="1"/>
  <c r="AV155" i="1"/>
  <c r="AV159" i="1"/>
  <c r="AV163" i="1"/>
  <c r="AV167" i="1"/>
  <c r="AV171" i="1"/>
  <c r="AV175" i="1"/>
  <c r="AV179" i="1"/>
  <c r="AV183" i="1"/>
  <c r="AV187" i="1"/>
  <c r="AV191" i="1"/>
  <c r="AV195" i="1"/>
  <c r="AV199" i="1"/>
  <c r="AV203" i="1"/>
  <c r="AV207" i="1"/>
  <c r="AV211" i="1"/>
  <c r="AV215" i="1"/>
  <c r="AV219" i="1"/>
  <c r="AV223" i="1"/>
  <c r="AV227" i="1"/>
  <c r="AV231" i="1"/>
  <c r="AV235" i="1"/>
  <c r="AV239" i="1"/>
  <c r="AV243" i="1"/>
  <c r="AV32" i="1"/>
  <c r="AV40" i="1"/>
  <c r="AV44" i="1"/>
  <c r="AV33" i="1"/>
  <c r="AV6" i="1"/>
  <c r="AV10" i="1"/>
  <c r="AV14" i="1"/>
  <c r="AV18" i="1"/>
  <c r="AV22" i="1"/>
  <c r="AV26" i="1"/>
  <c r="AV30" i="1"/>
  <c r="AV34" i="1"/>
  <c r="AV38" i="1"/>
  <c r="AV42" i="1"/>
  <c r="AV46" i="1"/>
  <c r="AV50" i="1"/>
  <c r="AV54" i="1"/>
  <c r="AV58" i="1"/>
  <c r="AV62" i="1"/>
  <c r="AV66" i="1"/>
  <c r="AV70" i="1"/>
  <c r="AV74" i="1"/>
  <c r="AV78" i="1"/>
  <c r="AV82" i="1"/>
  <c r="AV86" i="1"/>
  <c r="AV90" i="1"/>
  <c r="AV94" i="1"/>
  <c r="AV98" i="1"/>
  <c r="AV102" i="1"/>
  <c r="AV106" i="1"/>
  <c r="AV110" i="1"/>
  <c r="AV114" i="1"/>
  <c r="AV118" i="1"/>
  <c r="AV122" i="1"/>
  <c r="AV126" i="1"/>
  <c r="AV130" i="1"/>
  <c r="AV134" i="1"/>
  <c r="AV138" i="1"/>
  <c r="AV142" i="1"/>
  <c r="AV146" i="1"/>
  <c r="AV150" i="1"/>
  <c r="AV154" i="1"/>
  <c r="AV158" i="1"/>
  <c r="AV162" i="1"/>
  <c r="AV166" i="1"/>
  <c r="AV170" i="1"/>
  <c r="AV174" i="1"/>
  <c r="AV178" i="1"/>
  <c r="AV182" i="1"/>
  <c r="AV186" i="1"/>
  <c r="AV190" i="1"/>
  <c r="AV194" i="1"/>
  <c r="AV198" i="1"/>
  <c r="AV202" i="1"/>
  <c r="AV206" i="1"/>
  <c r="AV210" i="1"/>
  <c r="AV214" i="1"/>
  <c r="AV218" i="1"/>
  <c r="AV222" i="1"/>
  <c r="AV226" i="1"/>
  <c r="AV230" i="1"/>
  <c r="AV234" i="1"/>
  <c r="AV238" i="1"/>
  <c r="AV242" i="1"/>
  <c r="AO4" i="1"/>
  <c r="AU3" i="1"/>
  <c r="AT3" i="1"/>
  <c r="AR3" i="1"/>
  <c r="AS3" i="1" s="1"/>
  <c r="AQ3" i="1"/>
  <c r="AP3" i="1"/>
  <c r="AO3" i="1"/>
  <c r="AU4" i="1"/>
  <c r="AR4" i="1"/>
  <c r="AS4" i="1" s="1"/>
  <c r="AT4" i="1"/>
  <c r="AP4" i="1"/>
  <c r="AQ4" i="1"/>
  <c r="AV4" i="1" l="1"/>
  <c r="AV3" i="1"/>
</calcChain>
</file>

<file path=xl/sharedStrings.xml><?xml version="1.0" encoding="utf-8"?>
<sst xmlns="http://schemas.openxmlformats.org/spreadsheetml/2006/main" count="4707" uniqueCount="347">
  <si>
    <t>Status</t>
  </si>
  <si>
    <t>Progress</t>
  </si>
  <si>
    <t>Duration (in seconds)</t>
  </si>
  <si>
    <t>Finished</t>
  </si>
  <si>
    <t>RecordedDate</t>
  </si>
  <si>
    <t>RecipientLastName</t>
  </si>
  <si>
    <t>RecipientFirstName</t>
  </si>
  <si>
    <t>RecipientEmail</t>
  </si>
  <si>
    <t>ExternalReference</t>
  </si>
  <si>
    <t>DistributionChannel</t>
  </si>
  <si>
    <t>UserLanguage</t>
  </si>
  <si>
    <t>Q9_1</t>
  </si>
  <si>
    <t>Q9_2</t>
  </si>
  <si>
    <t>Q9_3</t>
  </si>
  <si>
    <t>Q9_4</t>
  </si>
  <si>
    <t>Q9_5</t>
  </si>
  <si>
    <t>Q9_6</t>
  </si>
  <si>
    <t>Thrown Color </t>
  </si>
  <si>
    <t>Throw Estimation_1</t>
  </si>
  <si>
    <t>Throw Estimation_2</t>
  </si>
  <si>
    <t>Throw Estimation_3</t>
  </si>
  <si>
    <t>Throw Estimation_4</t>
  </si>
  <si>
    <t>Throw Estimation_5</t>
  </si>
  <si>
    <t>Throw Estimation_6</t>
  </si>
  <si>
    <t>Reported Color</t>
  </si>
  <si>
    <t>Reported Estimation_1</t>
  </si>
  <si>
    <t>Reported Estimation_2</t>
  </si>
  <si>
    <t>Reported Estimation_3</t>
  </si>
  <si>
    <t>Reported Estimation_4</t>
  </si>
  <si>
    <t>Reported Estimation_5</t>
  </si>
  <si>
    <t>Reported Estimation_6</t>
  </si>
  <si>
    <t>Control Question</t>
  </si>
  <si>
    <t>Response Type</t>
  </si>
  <si>
    <t>IP Address</t>
  </si>
  <si>
    <t>Recorded Date</t>
  </si>
  <si>
    <t>Recipient Last Name</t>
  </si>
  <si>
    <t>Recipient First Name</t>
  </si>
  <si>
    <t>Recipient Email</t>
  </si>
  <si>
    <t>External Data Reference</t>
  </si>
  <si>
    <t>Distribution Channel</t>
  </si>
  <si>
    <t>User Language</t>
  </si>
  <si>
    <t>Instructions: Please think back to the die throwing task you completed during Part 1 of the study. The following questions ask you about that task. 
Please indicate your agreement with each of them. - 1) As I think about the task, I can actually remember it.</t>
  </si>
  <si>
    <t>Instructions: Please think back to the die throwing task you completed during Part 1 of the study. The following questions ask you about that task. 
Please indicate your agreement with each of them. - 2) As I remember the task, I can feel now the emotions that I felt then.</t>
  </si>
  <si>
    <t>Instructions: Please think back to the die throwing task you completed during Part 1 of the study. The following questions ask you about that task. 
Please indicate your agreement with each of them. - 3) Overall, I remember this event.</t>
  </si>
  <si>
    <t>Instructions: Please think back to the die throwing task you completed during Part 1 of the study. The following questions ask you about that task. 
Please indicate your agreement with each of them. - 4) My memory of this event is dim</t>
  </si>
  <si>
    <t>Instructions: Please think back to the die throwing task you completed during Part 1 of the study. The following questions ask you about that task. 
Please indicate your agreement with each of them. - 5) I remember how I felt at the time I just recalled</t>
  </si>
  <si>
    <t>Instructions: Please think back to the die throwing task you completed during Part 1 of the study. The following questions ask you about that task. 
Please indicate your agreement with each of them. - 6) I remember what I thought at the time of the event I just recalled</t>
  </si>
  <si>
    <t>What was the color of the thrown die?</t>
  </si>
  <si>
    <t>How many times did you throw each number? (total = 20) - &lt;span style="font-size:16px;"&gt;&lt;span style="font-family:Verdana,Geneva,sans-serif;"&gt;1&lt;/span&gt;&lt;/span&gt;</t>
  </si>
  <si>
    <t>How many times did you throw each number? (total = 20) - &lt;span style="font-size:16px;"&gt;&lt;span style="font-family:Verdana,Geneva,sans-serif;"&gt;2&lt;/span&gt;&lt;/span&gt;</t>
  </si>
  <si>
    <t>How many times did you throw each number? (total = 20) - &lt;span style="font-size:16px;"&gt;&lt;span style="font-family:Verdana,Geneva,sans-serif;"&gt;3&lt;/span&gt;&lt;/span&gt;</t>
  </si>
  <si>
    <t>How many times did you throw each number? (total = 20) - &lt;span style="font-family:Verdana,Geneva,sans-serif;"&gt;&lt;span style="font-size:16px;"&gt;4&lt;/span&gt;&lt;/span&gt;</t>
  </si>
  <si>
    <t>How many times did you throw each number? (total = 20) - &lt;span style="font-size:16px;"&gt;&lt;span style="font-family:Verdana,Geneva,sans-serif;"&gt;5&lt;/span&gt;&lt;/span&gt;</t>
  </si>
  <si>
    <t>How many times did you throw each number? (total = 20) - &lt;span style="font-size:16px;"&gt;&lt;span style="font-family:Verdana,Geneva,sans-serif;"&gt;6&lt;/span&gt;&lt;/span&gt;</t>
  </si>
  <si>
    <t>What was the color of the reported die?</t>
  </si>
  <si>
    <t>How many times did you report each number? (total = 20) - &lt;span style="font-size:16px;"&gt;&lt;span style="font-family:Verdana,Geneva,sans-serif;"&gt;1&lt;/span&gt;&lt;/span&gt;</t>
  </si>
  <si>
    <t>How many times did you report each number? (total = 20) - &lt;span style="font-size:16px;"&gt;&lt;span style="font-family:Verdana,Geneva,sans-serif;"&gt;2&lt;/span&gt;&lt;/span&gt;</t>
  </si>
  <si>
    <t>How many times did you report each number? (total = 20) - &lt;span style="font-size:16px;"&gt;&lt;span style="font-family:Verdana,Geneva,sans-serif;"&gt;3&lt;/span&gt;&lt;/span&gt;</t>
  </si>
  <si>
    <t>How many times did you report each number? (total = 20) - &lt;span style="font-family:Verdana,Geneva,sans-serif;"&gt;&lt;span style="font-size:16px;"&gt;4&lt;/span&gt;&lt;/span&gt;</t>
  </si>
  <si>
    <t>How many times did you report each number? (total = 20) - &lt;span style="font-size:16px;"&gt;&lt;span style="font-family:Verdana,Geneva,sans-serif;"&gt;5&lt;/span&gt;&lt;/span&gt;</t>
  </si>
  <si>
    <t>How many times did you report each number? (total = 20) - &lt;span style="font-size:16px;"&gt;&lt;span style="font-family:Verdana,Geneva,sans-serif;"&gt;6&lt;/span&gt;&lt;/span&gt;</t>
  </si>
  <si>
    <t>In your opinion, what was the aim of the study?</t>
  </si>
  <si>
    <t>True</t>
  </si>
  <si>
    <t/>
  </si>
  <si>
    <t>anonymous</t>
  </si>
  <si>
    <t>EN</t>
  </si>
  <si>
    <t>Strongly agree</t>
  </si>
  <si>
    <t>Disagree</t>
  </si>
  <si>
    <t>Red</t>
  </si>
  <si>
    <t>Black</t>
  </si>
  <si>
    <t>To see how well are memory subconsciously remembers stuff</t>
  </si>
  <si>
    <t>Agree</t>
  </si>
  <si>
    <t>White</t>
  </si>
  <si>
    <t>The purpose of this study, I think, is to test memory. When participating in the experiment, I had no idea that these kinds of questions would be asked, but I decided here purely on memories</t>
  </si>
  <si>
    <t>Somewhat agree</t>
  </si>
  <si>
    <t>Neither agree nor disagree</t>
  </si>
  <si>
    <t xml:space="preserve">Het geheugen testen. </t>
  </si>
  <si>
    <t>To find out what people remember about a little game or a little event they did without really paying attention and without trying to remember everything at that moment</t>
  </si>
  <si>
    <t>Strongly disagree</t>
  </si>
  <si>
    <t xml:space="preserve">To see how accurate memories are of a certain event and to know if people know some details </t>
  </si>
  <si>
    <t>I have honestly no idea</t>
  </si>
  <si>
    <t>Somewhat disagree</t>
  </si>
  <si>
    <t>To measure how we use our memory as regard to details in an observation, such as colors.</t>
  </si>
  <si>
    <t>See how much you remember of an event two days before and to what details you pay attention.</t>
  </si>
  <si>
    <t xml:space="preserve">checkin how well we remember certain things while focusing our attention on something else. </t>
  </si>
  <si>
    <t>To der how well one would remember simple data, like the number of times I threw a dice of which colour these had</t>
  </si>
  <si>
    <t>Testing how good our memory is.</t>
  </si>
  <si>
    <t>To test the accuracy of the memory given the period that went by</t>
  </si>
  <si>
    <t>To test your memory of the test.</t>
  </si>
  <si>
    <t>To test memory of repetitive tasks, when you stop paying attention after a while.</t>
  </si>
  <si>
    <t>I actually am a little bit confused by the experiment. If I have to guess, I think that the experiment was about how distracted people get when they are actually seeing losing their money. That was my thought after the first part of the experiment. After the second part of the experiment, my thoughts changed. Now I believe the experiment was about remembering what you did/think/feel a few days ago.</t>
  </si>
  <si>
    <t>i have absolutely no clew, it was very weird</t>
  </si>
  <si>
    <t xml:space="preserve">Recollection of events </t>
  </si>
  <si>
    <t>Finding out how much you remember from something that happened two days ago.</t>
  </si>
  <si>
    <t xml:space="preserve">Ik denk dat de studie wilt nagaan in welke mate de aflegde opdracht in het geheugen van de deelnemers zit. De deelnemers hebben 2 dagen niet nagedacht over de opdracht en nu krijgen ze er opnieuw vragen over.  </t>
  </si>
  <si>
    <t>the aim of the study was to see how much a person can remember an event in the past</t>
  </si>
  <si>
    <t xml:space="preserve">I have no idea. </t>
  </si>
  <si>
    <t>To see how much I would recall of the experiment 48h later</t>
  </si>
  <si>
    <t>To see if we would report the same number we threw</t>
  </si>
  <si>
    <t xml:space="preserve">Noticing how many times the dice was thrown and what the result was. And the opportunity of cheating in the results of the other party
</t>
  </si>
  <si>
    <t>To see if people will play within the rules, even if they cal lose money. Or if people will play against the rules and not lose money</t>
  </si>
  <si>
    <t>Maybe about when people are willing to lie if it benefits both of them.</t>
  </si>
  <si>
    <t>I thought it would check how fast we would response if the numbers matched and if we would lie in order to loose less money.</t>
  </si>
  <si>
    <t>Achterhalen of men zou valsspelen, wanneer de speler een punt kan verdienen door hetzelfde te gooien als de tegenspeler en dus een verkeerd getal op te geven.</t>
  </si>
  <si>
    <t>Finding out if repetitive tasks diminish your recollections of the events</t>
  </si>
  <si>
    <t>To see if people still remember visual details of the die game.</t>
  </si>
  <si>
    <t>To proof that people overestimate their own memory.</t>
  </si>
  <si>
    <t>I think the aim is to check how well we remember things you don't really focus on in normal life... If I knew I had to remember everything I was just asked I would have probably put more focus in to the study... But as I didn't know these questions would be asked, I did not really focus on it.</t>
  </si>
  <si>
    <t>I think the aim of the study is to see if people can recall details from events that took place.</t>
  </si>
  <si>
    <t>To check if you were going to lie to get more points</t>
  </si>
  <si>
    <t>To see in what extend people can really remember the details like the number of times they throw a certain number or looked at the layout. I think the study expects that everyone is not paying attention to these things since they are too busy with their points they earned in the game.</t>
  </si>
  <si>
    <t>Finding out how well people can remember things if a short time has passed.</t>
  </si>
  <si>
    <t>To let te respondents be 'frustrated' about the fact that it was almost impossible to have the same answers as the other person. Because we had tense emotions we had less focus on the die's. The aim of the study is to show that certain emotions make it more difficult to remember certain details (such as the die's).</t>
  </si>
  <si>
    <t>I have no idea</t>
  </si>
  <si>
    <t>Green</t>
  </si>
  <si>
    <t>To test my memory</t>
  </si>
  <si>
    <t>To see if we can remember the numbers of the die that were thrown. And to actually see if we have a photographic memory.</t>
  </si>
  <si>
    <t>I believe the aim of the study was to find out if you would lie by reporting the numbers so you would not lose any money and to find out a few days later how much specifics I could recall from the first part of the study (throwing the dice)</t>
  </si>
  <si>
    <t>To check how good we can remember things</t>
  </si>
  <si>
    <t xml:space="preserve">Testing both memory and honestly of participants. </t>
  </si>
  <si>
    <t xml:space="preserve">I am not really sure, but maybe about the honesty and working of the brain of people. Do they remember things as well as they claim to do? </t>
  </si>
  <si>
    <t>To test how well we remember the game after a couple of days and in what matter we remember it.</t>
  </si>
  <si>
    <t>To study how detailled we can remember things.</t>
  </si>
  <si>
    <t>At first I thought it was about the strategy used by the players, but after part two of the experiment I now think it’s about how little you can actually recal from something you think you remember vividly.</t>
  </si>
  <si>
    <t>The aim was to test your memory.</t>
  </si>
  <si>
    <t xml:space="preserve">To check how we still can remember things after 2 days. </t>
  </si>
  <si>
    <t xml:space="preserve">Het spel heeft een invloed op het geheugen + nadenken hoeveel keer je de dobbelsteen gooit en welk cijfer je dan uiteindelijk dan gooit. </t>
  </si>
  <si>
    <t>Thuis study was about memory. Do you remember details from 2 days ago?</t>
  </si>
  <si>
    <t xml:space="preserve">The aim of the study is to check how well people remember certain aspects (both things they expect to have to remember as things they don't). I don't think I did very well. </t>
  </si>
  <si>
    <t>To see if we can remember a repeated task clearly</t>
  </si>
  <si>
    <t>To test people’s memory soon after a fact</t>
  </si>
  <si>
    <t>I think the aim of this study was whether you would lie about the dice you trew in order to get more reward. And completing part 2 of the experiment, I think that this study was also about long term memory.</t>
  </si>
  <si>
    <t>Study memory when the subject has no prior knowledge of the aim to remember/or what he/she must remember. So to look at "spontanious" memories when performing a repetitive task.</t>
  </si>
  <si>
    <t>Luck?</t>
  </si>
  <si>
    <t>The aim of the study was to test our capacity to remember what we have thrown.</t>
  </si>
  <si>
    <t>I didn't really understand the task when playing the die game as my partner and I almost never had the same number report. Only when I intentionally reported the same number as my partner, although I didn't die the number, we were able to collect points. But perhaps this detail is irrelevant for the study, just so you know! Good luck with the study!</t>
  </si>
  <si>
    <t>Measuring how accurate memory is.</t>
  </si>
  <si>
    <t>I think it is probably meant to evaluate how good you can remember things.</t>
  </si>
  <si>
    <t>show the difference between how much you think you remember from an event and how much you actually remember</t>
  </si>
  <si>
    <t>It is easier to remember emotions and feelings than to actually remembers facts such as the color of the dice, the numbers you reported... I think the aim of the study was to show that.</t>
  </si>
  <si>
    <t>To test the degree of our memory, especially the way we remember things</t>
  </si>
  <si>
    <t>Checking what we remember about an event a few days ago.</t>
  </si>
  <si>
    <t>I thought it was about game theory, but during this second part I realise it was probably about memory</t>
  </si>
  <si>
    <t>To see what a person remembers of a test he/she did a couple days ago</t>
  </si>
  <si>
    <t>To research te accuracy of the memory</t>
  </si>
  <si>
    <t>Challenge the memory</t>
  </si>
  <si>
    <t xml:space="preserve">To make us report the wrong number because we want to make more money. </t>
  </si>
  <si>
    <t>I actually really do not know. I found it very vague but i would be interested in what the aim is</t>
  </si>
  <si>
    <t>Trying to discover whether people can remember such specific things as 20x rolling a die after a period of time.</t>
  </si>
  <si>
    <t>I think the study wanted to see how accurate our memory remains after some time about relatively banal events, because these events can also ultimately play an important role in, for example, a criminal investigation.</t>
  </si>
  <si>
    <t>how good we remember the survey</t>
  </si>
  <si>
    <t>Om na te gaan hoe accuraat herinneringen van een bepaalde gebeurtenis zijn bij iemand en in welke mate je de dingen anders herinnert dan hoe ze zich werkelijk voordeden. Een experiment naar het geheugen van de mens.</t>
  </si>
  <si>
    <t>/</t>
  </si>
  <si>
    <t>To know how good people's memory is</t>
  </si>
  <si>
    <t xml:space="preserve">I think the aim of the study was to research if people remember something better when it is accompanied by emotions/thoughts about the experiment </t>
  </si>
  <si>
    <t xml:space="preserve">to test the memory </t>
  </si>
  <si>
    <t xml:space="preserve">To study the memory of a person. </t>
  </si>
  <si>
    <t>See how good your memory is after a short period (2 days)</t>
  </si>
  <si>
    <t xml:space="preserve">I think that the aim was to see if te participant would remember a lot of the study. Even though it was a very simple and automatic game, it is hard now to remember which numbers were thrown and reported. In that way a link can be maid to testimonies of 20 years ago about a crime and how hard it is to remember it. </t>
  </si>
  <si>
    <t xml:space="preserve">I honestly have no clue </t>
  </si>
  <si>
    <t>throwing the dice and seeing whether the participants report the correct number or a wrong number, to get a point.</t>
  </si>
  <si>
    <t>To see how well I remember not only the numbers, but the circumstances during the experiment</t>
  </si>
  <si>
    <t>To discover what we could remember of the test a few days after the test</t>
  </si>
  <si>
    <t>remembering what you have thrown with the die and details that people notice but do not remember (like the color of the die)</t>
  </si>
  <si>
    <t xml:space="preserve">I have no idea, maybe how easily you can manipulate things but also how easily you forget things. </t>
  </si>
  <si>
    <t xml:space="preserve">To test our memory of something we didn't pay attention to </t>
  </si>
  <si>
    <t>I really don’t know actually.</t>
  </si>
  <si>
    <t>To see how good we remember "meaningless" things, without emotions or other external factors involved to make us remember it better. We didn't have to study the numbers. How much do we remember subconsciously, without trying?</t>
  </si>
  <si>
    <t>To see if participants would remember the individual outcomes of each game instead of who actually won. So we can see that details aren't always remembered perfectly.</t>
  </si>
  <si>
    <t xml:space="preserve">To see how good or bad people remember repetitive details that don’t seem to matter at the time of the event (ie how many times each number was thrown) </t>
  </si>
  <si>
    <t xml:space="preserve">To see how we retain information/recall information about seemingly unimportant or repetitive events. To see if there is a difference between the memories of the emotions and they actual events. </t>
  </si>
  <si>
    <t>Testing memory</t>
  </si>
  <si>
    <t xml:space="preserve">I think it was meant to make us focus on something else than what was questioned in the second survey. During the test I was memorizing how much money was in the bank, etc. I was not thinking about the colour of the die. </t>
  </si>
  <si>
    <t>To see if we remember what we threw and what we reported.</t>
  </si>
  <si>
    <t>Aboutaleb remembering What the other person and I myself threw</t>
  </si>
  <si>
    <t xml:space="preserve">I have no clue at all. Maybe to test our memory? </t>
  </si>
  <si>
    <t>To study the way we memorize certain events + to study our own perception of our memorization</t>
  </si>
  <si>
    <t>Sincerity and memory. To see if we are able to remember and if we are an 'analytic' person.</t>
  </si>
  <si>
    <t>I think that the aim of this study is to collect more information about how our brain, and more specific our memory functions. What do we remember a couple of days later? Is it easier to remember, for exemple colours?</t>
  </si>
  <si>
    <t xml:space="preserve">We had to do something that looked very easy and I think most of us did it after a few times automatically, so we didnt really pay attention to for example the color of the dice. </t>
  </si>
  <si>
    <t>To see whether people have an accurate memory</t>
  </si>
  <si>
    <t>To test our memory on an exercise that could seem insignificant</t>
  </si>
  <si>
    <t>To see how much people remember when engaging in a repeating activity.</t>
  </si>
  <si>
    <t>To test your memory. Being able to remember what number the other person had reported en what number you rolled yourself.</t>
  </si>
  <si>
    <t xml:space="preserve">To see how accurately we remember things </t>
  </si>
  <si>
    <t>i have no idea i was so confused the whole time, even now</t>
  </si>
  <si>
    <t>how do people remember a boring/montone task, as compared to an emotional experience</t>
  </si>
  <si>
    <t>I really don't know, maybe if we would be honest or not to earn money</t>
  </si>
  <si>
    <t>Herinneringen?</t>
  </si>
  <si>
    <t>To test our memory.</t>
  </si>
  <si>
    <t>Calculate how much our short-term memory remember of a specific event of two days ago</t>
  </si>
  <si>
    <t>Memory</t>
  </si>
  <si>
    <t>I don't really know.
But sometimes I reported another number than the number I threw, because I like getting points.</t>
  </si>
  <si>
    <t>I think it is the remembrance of little details of an activity. It was also strange that the bot did not coöperate</t>
  </si>
  <si>
    <t xml:space="preserve">To recognise the thrown numbers. </t>
  </si>
  <si>
    <t>Memory and  emotion</t>
  </si>
  <si>
    <t xml:space="preserve">Part 1: To see whether we would abide by the rules or lie when there is money involved and also to test our attention to stimuli
Part 2: Our idea on the concept of memory, recalling the details of the study and distinguishing between remembering things vaguely or in detail  </t>
  </si>
  <si>
    <t xml:space="preserve">I have no clue, maybe the effect of giving point to the other person and that I don't get any points. </t>
  </si>
  <si>
    <t>about memory</t>
  </si>
  <si>
    <t>How a particular event and accompanying emotions affect memory.</t>
  </si>
  <si>
    <t xml:space="preserve">Testing if you would report the numbers you threw honestly or if you would change them up to provide the same number the other participant threw. Then see if the participants can remember the numbers and maybe look if there is any correlation between remembering the reports/honesty of the reports. </t>
  </si>
  <si>
    <t>To see if people would answer honestly when they knew the thrown dice wasn’t the same as the previously thrown dice.</t>
  </si>
  <si>
    <t>Finding demographic relations in short-term memory capacity</t>
  </si>
  <si>
    <t>To see if I would cheat? Because I was accounted 0 points whatever I did, but my 'partner' could eventually get a point when we reported the same numbers.</t>
  </si>
  <si>
    <t>honesty in reporting the result of the dice, knowing that if it isn't the same you will lose money</t>
  </si>
  <si>
    <t>To see what kind of things people remember</t>
  </si>
  <si>
    <t>-to see how time affects a situation and the ability to (accurately) recall it
-how an assignment is linked with memory</t>
  </si>
  <si>
    <t>to see wether i would be able to recall certain details about the test 2 days after i finished it</t>
  </si>
  <si>
    <t xml:space="preserve">To test our memory </t>
  </si>
  <si>
    <t>See how well we can remember the details</t>
  </si>
  <si>
    <t>You wanted to see if I could remember details about the game I played a few says ago</t>
  </si>
  <si>
    <t xml:space="preserve">Retention of memory </t>
  </si>
  <si>
    <t xml:space="preserve">testing how good our memory is </t>
  </si>
  <si>
    <t>To research how well people can recall a certain situation or event that happened 24 hours ago.</t>
  </si>
  <si>
    <t>I think the aim of the study is to see if people remember mundane and repetitive things (such as repeatedly throwing dice) and next to remembering the event, to see if people remember specifics and feelings regarding the event</t>
  </si>
  <si>
    <t>no idea</t>
  </si>
  <si>
    <t>To see if people would lie about what they had thrown in regards to not losing any money.</t>
  </si>
  <si>
    <t xml:space="preserve">To be honest, I have no idea, but if I look at these questions, I assume that it has to do something with memory. A lot of people will focus on earning money and playing the game. Maybe they'll lie about there thrown digits during the game and this things could affect their memory. </t>
  </si>
  <si>
    <t xml:space="preserve">If we focused on the game that we played in the first experiment and if we rememberd somthing </t>
  </si>
  <si>
    <t xml:space="preserve">i think the second part was the most important, trying to remember what you did 2 days ago. But it's really hard to remember which numbers you had. </t>
  </si>
  <si>
    <t>Attention</t>
  </si>
  <si>
    <t>During the task, I thought it was to see whether I would lie about my dice roll so Player A would get more points, even though there was nothing in it for me. Now, I feel like it might have more to do with the questions I just answered in Part 2 and my memory of the experiment.</t>
  </si>
  <si>
    <t>i have no  idea</t>
  </si>
  <si>
    <t>I think the aim of the study was to see how much of the task the participant remembers.</t>
  </si>
  <si>
    <t>No idea</t>
  </si>
  <si>
    <t>I don’t know</t>
  </si>
  <si>
    <t>I have no idea, maybe remebering the numbers and see after 2 days how much you have remebered?</t>
  </si>
  <si>
    <t>I don't understand</t>
  </si>
  <si>
    <t>Investigate how much people remember about monotonous activities and detail awareness.</t>
  </si>
  <si>
    <t xml:space="preserve">Now I think it was a memory task to see how much we remember about if we lie or not </t>
  </si>
  <si>
    <t>To see if people would answer the number of the thrown dice correctly or in their own advantage to be able to keep the money.</t>
  </si>
  <si>
    <t>I actually have no idea.</t>
  </si>
  <si>
    <t>Trying to remember</t>
  </si>
  <si>
    <t>Maybe about lying for money</t>
  </si>
  <si>
    <t xml:space="preserve">To see if a person could remember things he didn't give his attention to at the moment of the tast and repport them correctly a few days later. </t>
  </si>
  <si>
    <t xml:space="preserve">To track my responses based on what the other player answered and to see whether I would cooperate with him for his own benefit. </t>
  </si>
  <si>
    <t>to check if the dice had the same number i would remember it better</t>
  </si>
  <si>
    <t xml:space="preserve">Maybe to see if i would lie if we got the same number. Because than the other person would not get a point. </t>
  </si>
  <si>
    <t>To see if people would remember the numbers?</t>
  </si>
  <si>
    <t>No idea…</t>
  </si>
  <si>
    <t>To examine the atención and the memory of the participant</t>
  </si>
  <si>
    <t>I have no idea.</t>
  </si>
  <si>
    <t xml:space="preserve">i have no clue.
</t>
  </si>
  <si>
    <t>To investigate if participants would follow rules or would (subconsciously) try to maximize their gains.</t>
  </si>
  <si>
    <t xml:space="preserve">Hoe goed ons geheugen en ons voorspelbaarheid werkt. </t>
  </si>
  <si>
    <t>To be honest I have no idea!!! also a bit confusing!</t>
  </si>
  <si>
    <t>To assess how reward influences honesty during reporting?</t>
  </si>
  <si>
    <t>ik heb geen idee, ik denk iets met lange termijn geheugen</t>
  </si>
  <si>
    <t>To understand how memry works by tryin to see what you remember from te studie. Also I think there was something about the fact that only the other player could recieve points.</t>
  </si>
  <si>
    <t xml:space="preserve">I don't really understand it. I think it its about remembering and about consequences </t>
  </si>
  <si>
    <t>I believe there was no other participant, And the answers were all rigged....
The test was maybe to see the response as to what correlations the participant would make considering their original rules of game were failing heavily</t>
  </si>
  <si>
    <t>I have no clue</t>
  </si>
  <si>
    <t>To test longer term memory , what properties one remembers from simple tasks</t>
  </si>
  <si>
    <t>Make people want to go for a 5 euro reward?</t>
  </si>
  <si>
    <t>If you can remember the dies you have thrown and if you lied about the die you threw (if you gain points by throwing the same number, you wouldn't lie about the number).</t>
  </si>
  <si>
    <t xml:space="preserve">To see if i was honnest answering the same results when i got a different number then my opponent </t>
  </si>
  <si>
    <t>The aim was to mesure my long term memory.</t>
  </si>
  <si>
    <t>I am not really sure, I didn't understand the study. To remember which number on the dice you rolled.</t>
  </si>
  <si>
    <t xml:space="preserve">To analyze our memory and to check the difference between what we think we remember and what we actually remember. </t>
  </si>
  <si>
    <t>Make you remember things you thought were irrelevant</t>
  </si>
  <si>
    <t>I think it was difficult after a while to stay focused and to not get confused.</t>
  </si>
  <si>
    <t xml:space="preserve">To test how well people remember details after a certain period of time and how well people think they remember it. </t>
  </si>
  <si>
    <t>Om te kunnen zien wie er zou liegen om een punt te krijgen en wie er eerlijk zou zijn in het voordeel van de andere speler.</t>
  </si>
  <si>
    <t>I found it a little strange that there was a ‘bank’ with money. I realise now that I didn’t really remember the numbers.</t>
  </si>
  <si>
    <t>To be honest, I really don't know what the point was but I'm glad I could help</t>
  </si>
  <si>
    <t xml:space="preserve">To see how much one remembers </t>
  </si>
  <si>
    <t xml:space="preserve">To see if you can be tricked into lying if there is a reward </t>
  </si>
  <si>
    <t>I think the aim of the study is to understand how good we remember (detailed) things and how our memories work.</t>
  </si>
  <si>
    <t xml:space="preserve">To remeber </t>
  </si>
  <si>
    <t>Being honest or lie about outcome</t>
  </si>
  <si>
    <t>see if you would lie</t>
  </si>
  <si>
    <t xml:space="preserve">I think it's to find how accurate we can remember details we don't focus on and whether we focus more on our thoughts/emotions or the actual numbers that were involved. </t>
  </si>
  <si>
    <t>The purpose of the study was memory testing. It was tested which details remain in the memory.</t>
  </si>
  <si>
    <t>I think it was a test to see if you were honest and reported the number you threw, or lie and report the same number that was reported to you in order to not lose any money</t>
  </si>
  <si>
    <t>Kijken of er gelogen wordt wat men zelf gooit, puur voor een reductie van de $5 te voorkomen</t>
  </si>
  <si>
    <t>I think they wanted us to focus on accurately reporting the dice throws, but wanted to test our memory of the things we might have not been paying attention to (ex. how many times we threw what number).</t>
  </si>
  <si>
    <t>The aim of this experiment was to examine how much attention is paid to details during games, and how strongly these details are remembered.</t>
  </si>
  <si>
    <t xml:space="preserve">Seeing how far our memorie goes when you don't know what you should remember for later questions. </t>
  </si>
  <si>
    <t>Om te laten zien dat we iets wat we meemaken niet volledig herinneren</t>
  </si>
  <si>
    <t xml:space="preserve">In deel 1 wordt er gekeken naar of mensen zullen gaan en blijven liegen als ze doorhebben dat het liegen hun een voordeel oplevert. In deel 2 wordt er gekeken naar of het geheugen verschilt als je al dan niet liegt. </t>
  </si>
  <si>
    <t xml:space="preserve">I thought is was weird, so i am "intrigued " to learn what it's about </t>
  </si>
  <si>
    <t xml:space="preserve">To see how clearly we remember small details from a situation the day after </t>
  </si>
  <si>
    <t>I thought it was about if we could remember how much money remained at the end of the study, but now I feel like the actual numbers we threw were more important</t>
  </si>
  <si>
    <t>The aim was in my opinion that we would just complete the first task without remembering details like the actual numbers or the colour of the die. It is clear that it's difficult to remember!</t>
  </si>
  <si>
    <t>Memory training</t>
  </si>
  <si>
    <t>Totaal geen idee</t>
  </si>
  <si>
    <t xml:space="preserve">The first part of the study was quite easy to do. I felt like it was designed to trigger some form of temptation to cheat to get better results. Because of this, I think the study was not about how good or bad your memory is, but rather about how big the temptation to cheat in order to obtain better results would become overtime due to the lack of good scores. Because of the questions in part 2 of the study, I was still thinking about this and I strongly believe the study is about more than just memory.  
</t>
  </si>
  <si>
    <t>Comparing how accurately people believe to remember and actually remember certain events.
Influence of strength of emotions</t>
  </si>
  <si>
    <t>Actualy, I was asking this question too when I was on the experiment but I am not sure whether I could get it. I guess, it was a basic study of concentration on the game because the task was so simple, and by creating a little bit tension about they will be the same or not the aim was maybe to measure our patience, and generally dices were not the same with the other player, then the aim may be looking at whether our concentration on the game will decline or not.</t>
  </si>
  <si>
    <t>to test how memory works according to color/number/graphics in a contest-aimed play</t>
  </si>
  <si>
    <t>To investigate the accuracy of memory.</t>
  </si>
  <si>
    <t>To test your subconcious memory</t>
  </si>
  <si>
    <t>Examining how good someone's memory is, and how well someone pays attention to details.</t>
  </si>
  <si>
    <t>To see on what you focus and how much details you can remember of something you did 2 days ago</t>
  </si>
  <si>
    <t>to test if i would lie about the number that the die rolled</t>
  </si>
  <si>
    <t>Kijken hoe lang en hoe goed je details van een gebeurtenis kan onthouden.</t>
  </si>
  <si>
    <t>Maybe it's about what exactly you focus on and store in your memory.</t>
  </si>
  <si>
    <t>To see what details we remember</t>
  </si>
  <si>
    <t xml:space="preserve">know my memory </t>
  </si>
  <si>
    <t>to check our memory</t>
  </si>
  <si>
    <t xml:space="preserve">To see how much people can remember </t>
  </si>
  <si>
    <t>Testing the capacity/accuracy of memory, even when an amount of time has passed</t>
  </si>
  <si>
    <t xml:space="preserve">If our memory is accurate after a couple of days of doing the experiment </t>
  </si>
  <si>
    <t>No idea I'm very confused</t>
  </si>
  <si>
    <t>To see how much you remember of the game</t>
  </si>
  <si>
    <t xml:space="preserve">To find out how memory correlates to motivation and the participant's own estimation of their recollection of events. </t>
  </si>
  <si>
    <t>I think the aim was to see how much one could remember from the experiment. How well that short term memory works, and also how many times one actually indicated the correct answer, and thus did not lie.</t>
  </si>
  <si>
    <t>To see how much one could be influenced to report correctly/incorrectly</t>
  </si>
  <si>
    <t>First I thought that the study was about how you react to reporting the trown die and how much you wanted that the other person got all the points. But after these question, I think it was a study about memory.</t>
  </si>
  <si>
    <t>I think the aim was to investigate whether people would cheat and report the wrong number in order to gain more money.</t>
  </si>
  <si>
    <t>Coded data for Analyses</t>
  </si>
  <si>
    <t xml:space="preserve"> </t>
  </si>
  <si>
    <t>Participants</t>
  </si>
  <si>
    <t>Condition</t>
  </si>
  <si>
    <t>Subcondition</t>
  </si>
  <si>
    <t>Unlikely Cheating</t>
  </si>
  <si>
    <t>Honest unLikely-cheat</t>
  </si>
  <si>
    <t>Likely Cheating</t>
  </si>
  <si>
    <t>Honest Likely-cheat</t>
  </si>
  <si>
    <t>Lie unLikely-cheating</t>
  </si>
  <si>
    <t>Lie Likely-cheating</t>
  </si>
  <si>
    <t>Hypothesis 1:</t>
  </si>
  <si>
    <t>Replicate Gino &amp; Kouchaki 2016 study</t>
  </si>
  <si>
    <t xml:space="preserve">Hypothesis 2: </t>
  </si>
  <si>
    <t>Memory Errors</t>
  </si>
  <si>
    <t>Session 1 Die rolls</t>
  </si>
  <si>
    <t>Die Roll</t>
  </si>
  <si>
    <t># of times each number thrown during session 1</t>
  </si>
  <si>
    <t>Thrown scores first</t>
  </si>
  <si>
    <t>Die roll color errors</t>
  </si>
  <si>
    <t>Reported scores</t>
  </si>
  <si>
    <t># of times each number reported during session 1</t>
  </si>
  <si>
    <t>Total Memory Errors</t>
  </si>
  <si>
    <t xml:space="preserve">"Thrown" Total Memory Errors </t>
  </si>
  <si>
    <t xml:space="preserve">"reported" Total Memory Errors </t>
  </si>
  <si>
    <t>Subcondition 2</t>
  </si>
  <si>
    <t>memory errors = Session2 "thrown" report - Session 1 actual throws</t>
  </si>
  <si>
    <t>Memory errors = Session2 "report" reported - Session 1 reported throws</t>
  </si>
  <si>
    <t>1)As I think about the task, I can actually remember it.</t>
  </si>
  <si>
    <t>2)As I remember the task, I can feel now the emotions that I felt then.</t>
  </si>
  <si>
    <t>3)Overall, I remember this event</t>
  </si>
  <si>
    <t>4)My memory of this event is dim</t>
  </si>
  <si>
    <t>5)I remember how I felt at the time I just recalled</t>
  </si>
  <si>
    <t>6)I remember what I thought at the time of the event I just recalled</t>
  </si>
  <si>
    <t>Amount of Lies</t>
  </si>
  <si>
    <t>AMQ Average Score</t>
  </si>
  <si>
    <t>Reverse coded Question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</si>
</sst>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indexed="8"/>
      <name val="Calibri"/>
      <family val="2"/>
      <scheme val="minor"/>
    </font>
    <font>
      <b/>
      <sz val="11"/>
      <color indexed="8"/>
      <name val="Calibri"/>
      <family val="2"/>
      <scheme val="minor"/>
    </font>
    <font>
      <b/>
      <sz val="11"/>
      <color rgb="FF000000"/>
      <name val="Calibri"/>
      <family val="2"/>
      <scheme val="minor"/>
    </font>
  </fonts>
  <fills count="5">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3">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0" fontId="1" fillId="3" borderId="0" xfId="0" applyFont="1" applyFill="1"/>
    <xf numFmtId="0" fontId="2" fillId="4" borderId="0" xfId="0" applyFont="1" applyFill="1"/>
    <xf numFmtId="0" fontId="0" fillId="4" borderId="0" xfId="0" applyFill="1"/>
    <xf numFmtId="0" fontId="0" fillId="0" borderId="0" xfId="0" applyFill="1"/>
    <xf numFmtId="0" fontId="0" fillId="2" borderId="0" xfId="0" applyFill="1" applyAlignment="1"/>
    <xf numFmtId="49" fontId="0" fillId="0" borderId="0" xfId="0" applyNumberFormat="1" applyAlignment="1"/>
    <xf numFmtId="0" fontId="0" fillId="0" borderId="0" xfId="0" applyAlignment="1"/>
    <xf numFmtId="0" fontId="1" fillId="4" borderId="0" xfId="0" applyFont="1" applyFill="1" applyAlignment="1">
      <alignment horizontal="center"/>
    </xf>
    <xf numFmtId="0" fontId="2" fillId="4" borderId="0" xfId="0" applyFont="1" applyFill="1" applyAlignment="1">
      <alignment horizontal="center"/>
    </xf>
    <xf numFmtId="0" fontId="2" fillId="3" borderId="0" xfId="0" applyFont="1" applyFill="1"/>
    <xf numFmtId="0" fontId="1" fillId="4" borderId="0" xfId="0" applyFont="1" applyFill="1"/>
    <xf numFmtId="49" fontId="0" fillId="0" borderId="0" xfId="0" applyNumberFormat="1" applyFill="1" applyAlignment="1">
      <alignment wrapText="1"/>
    </xf>
    <xf numFmtId="22" fontId="0" fillId="0" borderId="0" xfId="0" applyNumberFormat="1" applyFill="1"/>
    <xf numFmtId="49" fontId="0" fillId="0" borderId="0" xfId="0" applyNumberFormat="1" applyFill="1" applyAlignment="1"/>
    <xf numFmtId="164" fontId="0" fillId="0" borderId="0" xfId="0" applyNumberFormat="1"/>
    <xf numFmtId="164" fontId="1" fillId="4" borderId="0" xfId="0" applyNumberFormat="1" applyFont="1" applyFill="1"/>
    <xf numFmtId="164" fontId="0" fillId="4" borderId="0" xfId="0" applyNumberFormat="1" applyFill="1"/>
    <xf numFmtId="164"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4"/>
  <sheetViews>
    <sheetView tabSelected="1" topLeftCell="D1" zoomScale="70" zoomScaleNormal="70" workbookViewId="0">
      <pane ySplit="2" topLeftCell="A3" activePane="bottomLeft" state="frozen"/>
      <selection pane="bottomLeft" activeCell="E3" sqref="E3"/>
    </sheetView>
  </sheetViews>
  <sheetFormatPr defaultRowHeight="15" x14ac:dyDescent="0.25"/>
  <cols>
    <col min="32" max="32" width="9.140625" style="11"/>
    <col min="33" max="33" width="30" style="8" bestFit="1" customWidth="1"/>
    <col min="34" max="34" width="30" style="8" customWidth="1"/>
    <col min="35" max="35" width="11.42578125" bestFit="1" customWidth="1"/>
    <col min="36" max="36" width="11.42578125" customWidth="1"/>
    <col min="37" max="37" width="23.140625" bestFit="1" customWidth="1"/>
    <col min="38" max="38" width="23.140625" customWidth="1"/>
    <col min="39" max="39" width="45.85546875" bestFit="1" customWidth="1"/>
    <col min="40" max="40" width="35" style="8" bestFit="1" customWidth="1"/>
    <col min="47" max="47" width="23.42578125" bestFit="1" customWidth="1"/>
    <col min="48" max="48" width="23.42578125" style="19" customWidth="1"/>
    <col min="49" max="49" width="56.28515625" style="8" bestFit="1" customWidth="1"/>
    <col min="50" max="50" width="10.28515625" bestFit="1" customWidth="1"/>
    <col min="57" max="57" width="43.140625" bestFit="1" customWidth="1"/>
    <col min="58" max="58" width="23.140625" bestFit="1" customWidth="1"/>
    <col min="59" max="59" width="58.5703125" style="8" bestFit="1" customWidth="1"/>
    <col min="60" max="60" width="10.28515625" style="8" bestFit="1" customWidth="1"/>
    <col min="67" max="67" width="53.85546875" bestFit="1" customWidth="1"/>
    <col min="68" max="68" width="23.42578125" bestFit="1" customWidth="1"/>
    <col min="69" max="69" width="37.140625" bestFit="1" customWidth="1"/>
    <col min="70" max="70" width="24.28515625" bestFit="1" customWidth="1"/>
  </cols>
  <sheetData>
    <row r="1" spans="1:70"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9" t="s">
        <v>31</v>
      </c>
      <c r="AG1" s="5" t="s">
        <v>310</v>
      </c>
      <c r="AH1" s="6" t="s">
        <v>312</v>
      </c>
      <c r="AI1" s="6" t="s">
        <v>220</v>
      </c>
      <c r="AJ1" s="15" t="s">
        <v>344</v>
      </c>
      <c r="AK1" s="12" t="s">
        <v>313</v>
      </c>
      <c r="AL1" s="13" t="s">
        <v>314</v>
      </c>
      <c r="AM1" s="13" t="s">
        <v>335</v>
      </c>
      <c r="AN1" s="5" t="s">
        <v>321</v>
      </c>
      <c r="AO1" s="15" t="s">
        <v>338</v>
      </c>
      <c r="AP1" s="15" t="s">
        <v>339</v>
      </c>
      <c r="AQ1" s="15" t="s">
        <v>340</v>
      </c>
      <c r="AR1" s="15" t="s">
        <v>341</v>
      </c>
      <c r="AS1" s="15" t="s">
        <v>346</v>
      </c>
      <c r="AT1" s="15" t="s">
        <v>342</v>
      </c>
      <c r="AU1" s="15" t="s">
        <v>343</v>
      </c>
      <c r="AV1" s="20" t="s">
        <v>345</v>
      </c>
      <c r="AW1" s="5" t="s">
        <v>323</v>
      </c>
      <c r="AX1" s="12" t="s">
        <v>325</v>
      </c>
      <c r="AY1" s="12" t="s">
        <v>326</v>
      </c>
      <c r="AZ1" s="12" t="s">
        <v>326</v>
      </c>
      <c r="BA1" s="12" t="s">
        <v>326</v>
      </c>
      <c r="BB1" s="12" t="s">
        <v>326</v>
      </c>
      <c r="BC1" s="12" t="s">
        <v>326</v>
      </c>
      <c r="BD1" s="12" t="s">
        <v>326</v>
      </c>
      <c r="BE1" s="6" t="s">
        <v>324</v>
      </c>
      <c r="BF1" s="15" t="s">
        <v>329</v>
      </c>
      <c r="BG1" s="15" t="s">
        <v>333</v>
      </c>
      <c r="BH1" s="15" t="s">
        <v>330</v>
      </c>
      <c r="BI1" s="12" t="s">
        <v>326</v>
      </c>
      <c r="BJ1" s="12" t="s">
        <v>326</v>
      </c>
      <c r="BK1" s="12" t="s">
        <v>326</v>
      </c>
      <c r="BL1" s="12" t="s">
        <v>326</v>
      </c>
      <c r="BM1" s="12" t="s">
        <v>326</v>
      </c>
      <c r="BN1" s="12" t="s">
        <v>326</v>
      </c>
      <c r="BO1" s="6" t="s">
        <v>324</v>
      </c>
      <c r="BP1" s="15" t="s">
        <v>329</v>
      </c>
      <c r="BQ1" s="15" t="s">
        <v>334</v>
      </c>
      <c r="BR1" s="15" t="s">
        <v>332</v>
      </c>
    </row>
    <row r="2" spans="1:70" x14ac:dyDescent="0.25">
      <c r="A2" s="3" t="s">
        <v>32</v>
      </c>
      <c r="B2" s="3" t="s">
        <v>1</v>
      </c>
      <c r="C2" s="3" t="s">
        <v>2</v>
      </c>
      <c r="D2" s="3" t="s">
        <v>3</v>
      </c>
      <c r="E2" s="3" t="s">
        <v>34</v>
      </c>
      <c r="F2" s="3" t="s">
        <v>35</v>
      </c>
      <c r="G2" s="3" t="s">
        <v>36</v>
      </c>
      <c r="H2" s="3" t="s">
        <v>37</v>
      </c>
      <c r="I2" s="3" t="s">
        <v>38</v>
      </c>
      <c r="J2" s="3" t="s">
        <v>39</v>
      </c>
      <c r="K2" s="3" t="s">
        <v>40</v>
      </c>
      <c r="L2" s="3" t="s">
        <v>41</v>
      </c>
      <c r="M2" s="3" t="s">
        <v>42</v>
      </c>
      <c r="N2" s="3" t="s">
        <v>43</v>
      </c>
      <c r="O2" s="3" t="s">
        <v>44</v>
      </c>
      <c r="P2" s="3" t="s">
        <v>45</v>
      </c>
      <c r="Q2" s="3" t="s">
        <v>46</v>
      </c>
      <c r="R2" s="3" t="s">
        <v>47</v>
      </c>
      <c r="S2" s="3" t="s">
        <v>48</v>
      </c>
      <c r="T2" s="3" t="s">
        <v>49</v>
      </c>
      <c r="U2" s="3" t="s">
        <v>50</v>
      </c>
      <c r="V2" s="3" t="s">
        <v>51</v>
      </c>
      <c r="W2" s="3" t="s">
        <v>52</v>
      </c>
      <c r="X2" s="3" t="s">
        <v>53</v>
      </c>
      <c r="Y2" s="3" t="s">
        <v>54</v>
      </c>
      <c r="Z2" s="3" t="s">
        <v>55</v>
      </c>
      <c r="AA2" s="3" t="s">
        <v>56</v>
      </c>
      <c r="AB2" s="3" t="s">
        <v>57</v>
      </c>
      <c r="AC2" s="3" t="s">
        <v>58</v>
      </c>
      <c r="AD2" s="3" t="s">
        <v>59</v>
      </c>
      <c r="AE2" s="3" t="s">
        <v>60</v>
      </c>
      <c r="AF2" s="9" t="s">
        <v>61</v>
      </c>
      <c r="AG2" s="4" t="s">
        <v>311</v>
      </c>
      <c r="AH2" s="7"/>
      <c r="AI2" s="7"/>
      <c r="AJ2" s="7"/>
      <c r="AK2" s="7"/>
      <c r="AL2" s="7"/>
      <c r="AM2" s="7"/>
      <c r="AN2" s="14" t="s">
        <v>322</v>
      </c>
      <c r="AO2" s="7"/>
      <c r="AP2" s="7"/>
      <c r="AQ2" s="7"/>
      <c r="AR2" s="7"/>
      <c r="AS2" s="7"/>
      <c r="AT2" s="7"/>
      <c r="AU2" s="7"/>
      <c r="AV2" s="21"/>
      <c r="AW2" s="5" t="s">
        <v>328</v>
      </c>
      <c r="AX2" s="13" t="s">
        <v>327</v>
      </c>
      <c r="AY2" s="12">
        <v>1</v>
      </c>
      <c r="AZ2" s="12">
        <v>2</v>
      </c>
      <c r="BA2" s="12">
        <v>3</v>
      </c>
      <c r="BB2" s="12">
        <v>4</v>
      </c>
      <c r="BC2" s="12">
        <v>5</v>
      </c>
      <c r="BD2" s="12">
        <v>6</v>
      </c>
      <c r="BE2" s="6" t="s">
        <v>336</v>
      </c>
      <c r="BF2" s="7"/>
      <c r="BG2" s="7"/>
      <c r="BH2" s="13" t="s">
        <v>331</v>
      </c>
      <c r="BI2" s="12">
        <v>1</v>
      </c>
      <c r="BJ2" s="12">
        <v>2</v>
      </c>
      <c r="BK2" s="12">
        <v>3</v>
      </c>
      <c r="BL2" s="12">
        <v>4</v>
      </c>
      <c r="BM2" s="12">
        <v>5</v>
      </c>
      <c r="BN2" s="12">
        <v>6</v>
      </c>
      <c r="BO2" s="6" t="s">
        <v>337</v>
      </c>
      <c r="BP2" s="7"/>
      <c r="BQ2" s="7"/>
      <c r="BR2" s="7"/>
    </row>
    <row r="3" spans="1:70" ht="30" x14ac:dyDescent="0.25">
      <c r="A3" s="2" t="s">
        <v>33</v>
      </c>
      <c r="B3">
        <v>100</v>
      </c>
      <c r="C3">
        <v>238</v>
      </c>
      <c r="D3" s="2" t="s">
        <v>62</v>
      </c>
      <c r="E3" s="1">
        <v>44475.271191805557</v>
      </c>
      <c r="F3" s="2" t="s">
        <v>63</v>
      </c>
      <c r="G3" s="2" t="s">
        <v>63</v>
      </c>
      <c r="H3" s="2" t="s">
        <v>63</v>
      </c>
      <c r="I3" s="2" t="s">
        <v>63</v>
      </c>
      <c r="J3" s="2" t="s">
        <v>64</v>
      </c>
      <c r="K3" s="2" t="s">
        <v>65</v>
      </c>
      <c r="L3" s="2" t="s">
        <v>66</v>
      </c>
      <c r="M3" s="2" t="s">
        <v>66</v>
      </c>
      <c r="N3" s="2" t="s">
        <v>66</v>
      </c>
      <c r="O3" s="2" t="s">
        <v>67</v>
      </c>
      <c r="P3" s="2" t="s">
        <v>66</v>
      </c>
      <c r="Q3" s="2" t="s">
        <v>66</v>
      </c>
      <c r="R3" s="2" t="s">
        <v>68</v>
      </c>
      <c r="S3">
        <v>3</v>
      </c>
      <c r="T3">
        <v>3</v>
      </c>
      <c r="U3">
        <v>1</v>
      </c>
      <c r="V3">
        <v>3</v>
      </c>
      <c r="W3">
        <v>6</v>
      </c>
      <c r="X3">
        <v>4</v>
      </c>
      <c r="Y3" s="2" t="s">
        <v>69</v>
      </c>
      <c r="Z3">
        <v>5</v>
      </c>
      <c r="AA3">
        <v>1</v>
      </c>
      <c r="AB3">
        <v>2</v>
      </c>
      <c r="AC3">
        <v>4</v>
      </c>
      <c r="AD3">
        <v>6</v>
      </c>
      <c r="AE3">
        <v>2</v>
      </c>
      <c r="AF3" s="10" t="s">
        <v>70</v>
      </c>
      <c r="AG3" s="4"/>
      <c r="AH3" s="8">
        <v>1</v>
      </c>
      <c r="AI3">
        <v>1</v>
      </c>
      <c r="AJ3">
        <v>0</v>
      </c>
      <c r="AK3" s="8" t="s">
        <v>315</v>
      </c>
      <c r="AL3" t="s">
        <v>316</v>
      </c>
      <c r="AM3" t="str">
        <f>IF(AL3="Honest unLikely-cheat","Honest",IF(AL3="Honest Likely-cheat","Honest","Lie"))</f>
        <v>Honest</v>
      </c>
      <c r="AN3" s="4"/>
      <c r="AO3">
        <f t="shared" ref="AO3:AO66" si="0">IF(L3="Strongly agree",1,IF(L3="Agree",2,IF(L3="Somewhat agree",3,IF(L3="Neither agree nor disagree",4,IF(L3="Somewhat disagree",5,IF(L3="Disagree",6, IF(L3="Strongly disagree",7,"ERROR")))))))</f>
        <v>1</v>
      </c>
      <c r="AP3">
        <f t="shared" ref="AP3:AP66" si="1">IF(M3="Strongly agree",1,IF(M3="Agree",2,IF(M3="Somewhat agree",3,IF(M3="Neither agree nor disagree",4,IF(M3="Somewhat disagree",5,IF(M3="Disagree",6, IF(M3="Strongly disagree",7,"ERROR")))))))</f>
        <v>1</v>
      </c>
      <c r="AQ3">
        <f t="shared" ref="AQ3:AQ66" si="2">IF(N3="Strongly agree",1,IF(N3="Agree",2,IF(N3="Somewhat agree",3,IF(N3="Neither agree nor disagree",4,IF(N3="Somewhat disagree",5,IF(N3="Disagree",6, IF(N3="Strongly disagree",7,"ERROR")))))))</f>
        <v>1</v>
      </c>
      <c r="AR3">
        <f t="shared" ref="AR3:AR66" si="3">IF(O3="Strongly agree",1,IF(O3="Agree",2,IF(O3="Somewhat agree",3,IF(O3="Neither agree nor disagree",4,IF(O3="Somewhat disagree",5,IF(O3="Disagree",6, IF(O3="Strongly disagree",7,"ERROR")))))))</f>
        <v>6</v>
      </c>
      <c r="AS3">
        <f>8-AR3</f>
        <v>2</v>
      </c>
      <c r="AT3">
        <f t="shared" ref="AT3:AT66" si="4">IF(P3="Strongly agree",1,IF(P3="Agree",2,IF(P3="Somewhat agree",3,IF(P3="Neither agree nor disagree",4,IF(P3="Somewhat disagree",5,IF(P3="Disagree",6, IF(P3="Strongly disagree",7,"ERROR")))))))</f>
        <v>1</v>
      </c>
      <c r="AU3">
        <f t="shared" ref="AU3:AU66" si="5">IF(Q3="Strongly agree",1,IF(Q3="Agree",2,IF(Q3="Somewhat agree",3,IF(Q3="Neither agree nor disagree",4,IF(Q3="Somewhat disagree",5,IF(Q3="Disagree",6, IF(Q3="Strongly disagree",7,"ERROR")))))))</f>
        <v>1</v>
      </c>
      <c r="AV3" s="19">
        <f>AVERAGE(AO3:AQ3,AS3,AT3,AU3)</f>
        <v>1.1666666666666667</v>
      </c>
      <c r="AW3" s="4"/>
      <c r="AY3">
        <v>5</v>
      </c>
      <c r="AZ3">
        <v>3</v>
      </c>
      <c r="BA3">
        <v>1</v>
      </c>
      <c r="BB3">
        <v>4</v>
      </c>
      <c r="BC3">
        <v>6</v>
      </c>
      <c r="BD3">
        <v>1</v>
      </c>
      <c r="BE3">
        <f t="shared" ref="BE3:BE66" si="6">SUM(ABS(AY3-S3),ABS(AZ3-T3),ABS(BA3-U3),ABS(BB3-V3),ABS(BC3-W3),ABS(BD3-X3))</f>
        <v>6</v>
      </c>
      <c r="BF3">
        <f t="shared" ref="BF3:BF66" si="7">IF(R3="White",0,1)</f>
        <v>1</v>
      </c>
      <c r="BG3">
        <f t="shared" ref="BG3:BG66" si="8">SUM(BE3:BF3)</f>
        <v>7</v>
      </c>
      <c r="BI3">
        <v>5</v>
      </c>
      <c r="BJ3">
        <v>3</v>
      </c>
      <c r="BK3">
        <v>1</v>
      </c>
      <c r="BL3">
        <v>4</v>
      </c>
      <c r="BM3">
        <v>6</v>
      </c>
      <c r="BN3">
        <v>1</v>
      </c>
      <c r="BO3">
        <f t="shared" ref="BO3:BO66" si="9">SUM(ABS(BI3-Z3),ABS(BJ3-AA3),ABS(BK3-AB3),ABS(BL3-AC3),ABS(BM3-AD3),ABS(BN3-AE3))</f>
        <v>4</v>
      </c>
      <c r="BP3">
        <f t="shared" ref="BP3:BP66" si="10">IF(Y3="Black",0,1)</f>
        <v>0</v>
      </c>
      <c r="BQ3">
        <f t="shared" ref="BQ3:BQ66" si="11">SUM(BO3:BP3)</f>
        <v>4</v>
      </c>
      <c r="BR3">
        <f t="shared" ref="BR3:BR66" si="12">SUM(BG3,BQ3)</f>
        <v>11</v>
      </c>
    </row>
    <row r="4" spans="1:70" ht="30" x14ac:dyDescent="0.25">
      <c r="A4" s="2" t="s">
        <v>33</v>
      </c>
      <c r="B4">
        <v>100</v>
      </c>
      <c r="C4">
        <v>397</v>
      </c>
      <c r="D4" s="2" t="s">
        <v>62</v>
      </c>
      <c r="E4" s="1">
        <v>44475.27834809028</v>
      </c>
      <c r="F4" s="2" t="s">
        <v>63</v>
      </c>
      <c r="G4" s="2" t="s">
        <v>63</v>
      </c>
      <c r="H4" s="2" t="s">
        <v>63</v>
      </c>
      <c r="I4" s="2" t="s">
        <v>63</v>
      </c>
      <c r="J4" s="2" t="s">
        <v>64</v>
      </c>
      <c r="K4" s="2" t="s">
        <v>65</v>
      </c>
      <c r="L4" s="2" t="s">
        <v>66</v>
      </c>
      <c r="M4" s="2" t="s">
        <v>66</v>
      </c>
      <c r="N4" s="2" t="s">
        <v>71</v>
      </c>
      <c r="O4" s="2" t="s">
        <v>67</v>
      </c>
      <c r="P4" s="2" t="s">
        <v>66</v>
      </c>
      <c r="Q4" s="2" t="s">
        <v>66</v>
      </c>
      <c r="R4" s="2" t="s">
        <v>72</v>
      </c>
      <c r="S4">
        <v>2</v>
      </c>
      <c r="T4">
        <v>4</v>
      </c>
      <c r="U4">
        <v>1</v>
      </c>
      <c r="V4">
        <v>4</v>
      </c>
      <c r="W4">
        <v>4</v>
      </c>
      <c r="X4">
        <v>5</v>
      </c>
      <c r="Y4" s="2" t="s">
        <v>69</v>
      </c>
      <c r="Z4">
        <v>4</v>
      </c>
      <c r="AA4">
        <v>6</v>
      </c>
      <c r="AB4">
        <v>1</v>
      </c>
      <c r="AC4">
        <v>3</v>
      </c>
      <c r="AD4">
        <v>4</v>
      </c>
      <c r="AE4">
        <v>2</v>
      </c>
      <c r="AF4" s="10" t="s">
        <v>73</v>
      </c>
      <c r="AG4" s="4"/>
      <c r="AH4" s="8">
        <v>2</v>
      </c>
      <c r="AI4">
        <v>2</v>
      </c>
      <c r="AJ4">
        <v>2</v>
      </c>
      <c r="AK4" s="8" t="s">
        <v>315</v>
      </c>
      <c r="AL4" t="s">
        <v>319</v>
      </c>
      <c r="AM4" t="str">
        <f t="shared" ref="AM4:AM67" si="13">IF(AL4="Honest unLikely-cheat","Honest",IF(AL4="Honest Likely-cheat","Honest","Lie"))</f>
        <v>Lie</v>
      </c>
      <c r="AN4" s="4"/>
      <c r="AO4">
        <f t="shared" si="0"/>
        <v>1</v>
      </c>
      <c r="AP4">
        <f t="shared" si="1"/>
        <v>1</v>
      </c>
      <c r="AQ4">
        <f t="shared" si="2"/>
        <v>2</v>
      </c>
      <c r="AR4">
        <f t="shared" si="3"/>
        <v>6</v>
      </c>
      <c r="AS4">
        <f t="shared" ref="AS4:AS67" si="14">8-AR4</f>
        <v>2</v>
      </c>
      <c r="AT4">
        <f t="shared" si="4"/>
        <v>1</v>
      </c>
      <c r="AU4">
        <f t="shared" si="5"/>
        <v>1</v>
      </c>
      <c r="AV4" s="19">
        <f t="shared" ref="AV4:AV67" si="15">AVERAGE(AO4:AQ4,AS4,AT4,AU4)</f>
        <v>1.3333333333333333</v>
      </c>
      <c r="AW4" s="4"/>
      <c r="AY4">
        <v>5</v>
      </c>
      <c r="AZ4">
        <v>3</v>
      </c>
      <c r="BA4">
        <v>3</v>
      </c>
      <c r="BB4">
        <v>3</v>
      </c>
      <c r="BC4">
        <v>2</v>
      </c>
      <c r="BD4">
        <v>4</v>
      </c>
      <c r="BE4">
        <f t="shared" si="6"/>
        <v>10</v>
      </c>
      <c r="BF4">
        <f t="shared" si="7"/>
        <v>0</v>
      </c>
      <c r="BG4">
        <f t="shared" si="8"/>
        <v>10</v>
      </c>
      <c r="BI4">
        <v>5</v>
      </c>
      <c r="BJ4">
        <v>2</v>
      </c>
      <c r="BK4">
        <v>3</v>
      </c>
      <c r="BL4">
        <v>2</v>
      </c>
      <c r="BM4">
        <v>3</v>
      </c>
      <c r="BN4">
        <v>5</v>
      </c>
      <c r="BO4">
        <f t="shared" si="9"/>
        <v>12</v>
      </c>
      <c r="BP4">
        <f t="shared" si="10"/>
        <v>0</v>
      </c>
      <c r="BQ4">
        <f t="shared" si="11"/>
        <v>12</v>
      </c>
      <c r="BR4">
        <f t="shared" si="12"/>
        <v>22</v>
      </c>
    </row>
    <row r="5" spans="1:70" ht="60" x14ac:dyDescent="0.25">
      <c r="A5" s="2" t="s">
        <v>33</v>
      </c>
      <c r="B5">
        <v>100</v>
      </c>
      <c r="C5">
        <v>232</v>
      </c>
      <c r="D5" s="2" t="s">
        <v>62</v>
      </c>
      <c r="E5" s="1">
        <v>44475.281245995371</v>
      </c>
      <c r="F5" s="2" t="s">
        <v>63</v>
      </c>
      <c r="G5" s="2" t="s">
        <v>63</v>
      </c>
      <c r="H5" s="2" t="s">
        <v>63</v>
      </c>
      <c r="I5" s="2" t="s">
        <v>63</v>
      </c>
      <c r="J5" s="2" t="s">
        <v>64</v>
      </c>
      <c r="K5" s="2" t="s">
        <v>65</v>
      </c>
      <c r="L5" s="2" t="s">
        <v>74</v>
      </c>
      <c r="M5" s="2" t="s">
        <v>67</v>
      </c>
      <c r="N5" s="2" t="s">
        <v>71</v>
      </c>
      <c r="O5" s="2" t="s">
        <v>75</v>
      </c>
      <c r="P5" s="2" t="s">
        <v>67</v>
      </c>
      <c r="Q5" s="2" t="s">
        <v>67</v>
      </c>
      <c r="R5" s="2" t="s">
        <v>72</v>
      </c>
      <c r="S5">
        <v>3</v>
      </c>
      <c r="T5">
        <v>4</v>
      </c>
      <c r="U5">
        <v>4</v>
      </c>
      <c r="V5">
        <v>2</v>
      </c>
      <c r="W5">
        <v>3</v>
      </c>
      <c r="X5">
        <v>4</v>
      </c>
      <c r="Y5" s="2" t="s">
        <v>72</v>
      </c>
      <c r="Z5">
        <v>3</v>
      </c>
      <c r="AA5">
        <v>4</v>
      </c>
      <c r="AB5">
        <v>4</v>
      </c>
      <c r="AC5">
        <v>2</v>
      </c>
      <c r="AD5">
        <v>3</v>
      </c>
      <c r="AE5">
        <v>4</v>
      </c>
      <c r="AF5" s="10" t="s">
        <v>76</v>
      </c>
      <c r="AG5" s="4"/>
      <c r="AH5" s="8">
        <v>3</v>
      </c>
      <c r="AI5">
        <v>0</v>
      </c>
      <c r="AJ5">
        <v>0</v>
      </c>
      <c r="AK5" s="8" t="s">
        <v>317</v>
      </c>
      <c r="AL5" t="s">
        <v>318</v>
      </c>
      <c r="AM5" t="str">
        <f t="shared" si="13"/>
        <v>Honest</v>
      </c>
      <c r="AN5" s="4"/>
      <c r="AO5">
        <f t="shared" si="0"/>
        <v>3</v>
      </c>
      <c r="AP5">
        <f t="shared" si="1"/>
        <v>6</v>
      </c>
      <c r="AQ5">
        <f t="shared" si="2"/>
        <v>2</v>
      </c>
      <c r="AR5">
        <f t="shared" si="3"/>
        <v>4</v>
      </c>
      <c r="AS5">
        <f t="shared" si="14"/>
        <v>4</v>
      </c>
      <c r="AT5">
        <f t="shared" si="4"/>
        <v>6</v>
      </c>
      <c r="AU5">
        <f t="shared" si="5"/>
        <v>6</v>
      </c>
      <c r="AV5" s="19">
        <f t="shared" si="15"/>
        <v>4.5</v>
      </c>
      <c r="AW5" s="4"/>
      <c r="AY5">
        <v>3</v>
      </c>
      <c r="AZ5">
        <v>4</v>
      </c>
      <c r="BA5">
        <v>5</v>
      </c>
      <c r="BB5">
        <v>1</v>
      </c>
      <c r="BC5">
        <v>3</v>
      </c>
      <c r="BD5">
        <v>4</v>
      </c>
      <c r="BE5">
        <f t="shared" si="6"/>
        <v>2</v>
      </c>
      <c r="BF5">
        <f t="shared" si="7"/>
        <v>0</v>
      </c>
      <c r="BG5">
        <f t="shared" si="8"/>
        <v>2</v>
      </c>
      <c r="BI5">
        <v>2</v>
      </c>
      <c r="BJ5">
        <v>4</v>
      </c>
      <c r="BK5">
        <v>5</v>
      </c>
      <c r="BL5">
        <v>1</v>
      </c>
      <c r="BM5">
        <v>4</v>
      </c>
      <c r="BN5">
        <v>4</v>
      </c>
      <c r="BO5">
        <f t="shared" si="9"/>
        <v>4</v>
      </c>
      <c r="BP5">
        <f t="shared" si="10"/>
        <v>1</v>
      </c>
      <c r="BQ5">
        <f t="shared" si="11"/>
        <v>5</v>
      </c>
      <c r="BR5">
        <f t="shared" si="12"/>
        <v>7</v>
      </c>
    </row>
    <row r="6" spans="1:70" ht="30" x14ac:dyDescent="0.25">
      <c r="A6" s="2" t="s">
        <v>33</v>
      </c>
      <c r="B6">
        <v>100</v>
      </c>
      <c r="C6">
        <v>426</v>
      </c>
      <c r="D6" s="2" t="s">
        <v>62</v>
      </c>
      <c r="E6" s="1">
        <v>44475.290653090276</v>
      </c>
      <c r="F6" s="2" t="s">
        <v>63</v>
      </c>
      <c r="G6" s="2" t="s">
        <v>63</v>
      </c>
      <c r="H6" s="2" t="s">
        <v>63</v>
      </c>
      <c r="I6" s="2" t="s">
        <v>63</v>
      </c>
      <c r="J6" s="2" t="s">
        <v>64</v>
      </c>
      <c r="K6" s="2" t="s">
        <v>65</v>
      </c>
      <c r="L6" s="2" t="s">
        <v>66</v>
      </c>
      <c r="M6" s="2" t="s">
        <v>71</v>
      </c>
      <c r="N6" s="2" t="s">
        <v>66</v>
      </c>
      <c r="O6" s="2" t="s">
        <v>67</v>
      </c>
      <c r="P6" s="2" t="s">
        <v>71</v>
      </c>
      <c r="Q6" s="2" t="s">
        <v>74</v>
      </c>
      <c r="R6" s="2" t="s">
        <v>72</v>
      </c>
      <c r="S6">
        <v>4</v>
      </c>
      <c r="T6">
        <v>1</v>
      </c>
      <c r="U6">
        <v>5</v>
      </c>
      <c r="V6">
        <v>5</v>
      </c>
      <c r="W6">
        <v>4</v>
      </c>
      <c r="X6">
        <v>1</v>
      </c>
      <c r="Y6" s="2" t="s">
        <v>68</v>
      </c>
      <c r="Z6">
        <v>3</v>
      </c>
      <c r="AA6">
        <v>6</v>
      </c>
      <c r="AB6">
        <v>2</v>
      </c>
      <c r="AC6">
        <v>1</v>
      </c>
      <c r="AD6">
        <v>5</v>
      </c>
      <c r="AE6">
        <v>3</v>
      </c>
      <c r="AF6" s="10" t="s">
        <v>77</v>
      </c>
      <c r="AG6" s="4"/>
      <c r="AH6" s="8">
        <v>4</v>
      </c>
      <c r="AI6">
        <v>1</v>
      </c>
      <c r="AJ6">
        <v>0</v>
      </c>
      <c r="AK6" s="8" t="s">
        <v>315</v>
      </c>
      <c r="AL6" t="s">
        <v>316</v>
      </c>
      <c r="AM6" t="str">
        <f t="shared" si="13"/>
        <v>Honest</v>
      </c>
      <c r="AN6" s="4"/>
      <c r="AO6">
        <f t="shared" si="0"/>
        <v>1</v>
      </c>
      <c r="AP6">
        <f t="shared" si="1"/>
        <v>2</v>
      </c>
      <c r="AQ6">
        <f t="shared" si="2"/>
        <v>1</v>
      </c>
      <c r="AR6">
        <f t="shared" si="3"/>
        <v>6</v>
      </c>
      <c r="AS6">
        <f t="shared" si="14"/>
        <v>2</v>
      </c>
      <c r="AT6">
        <f t="shared" si="4"/>
        <v>2</v>
      </c>
      <c r="AU6">
        <f t="shared" si="5"/>
        <v>3</v>
      </c>
      <c r="AV6" s="19">
        <f t="shared" si="15"/>
        <v>1.8333333333333333</v>
      </c>
      <c r="AW6" s="4"/>
      <c r="AY6">
        <v>3</v>
      </c>
      <c r="AZ6">
        <v>1</v>
      </c>
      <c r="BA6">
        <v>6</v>
      </c>
      <c r="BB6">
        <v>5</v>
      </c>
      <c r="BC6">
        <v>4</v>
      </c>
      <c r="BD6">
        <v>1</v>
      </c>
      <c r="BE6">
        <f t="shared" si="6"/>
        <v>2</v>
      </c>
      <c r="BF6">
        <f t="shared" si="7"/>
        <v>0</v>
      </c>
      <c r="BG6">
        <f t="shared" si="8"/>
        <v>2</v>
      </c>
      <c r="BI6">
        <v>3</v>
      </c>
      <c r="BJ6">
        <v>1</v>
      </c>
      <c r="BK6">
        <v>6</v>
      </c>
      <c r="BL6">
        <v>5</v>
      </c>
      <c r="BM6">
        <v>4</v>
      </c>
      <c r="BN6">
        <v>1</v>
      </c>
      <c r="BO6">
        <f t="shared" si="9"/>
        <v>16</v>
      </c>
      <c r="BP6">
        <f t="shared" si="10"/>
        <v>1</v>
      </c>
      <c r="BQ6">
        <f t="shared" si="11"/>
        <v>17</v>
      </c>
      <c r="BR6">
        <f t="shared" si="12"/>
        <v>19</v>
      </c>
    </row>
    <row r="7" spans="1:70" ht="30" x14ac:dyDescent="0.25">
      <c r="A7" s="2" t="s">
        <v>33</v>
      </c>
      <c r="B7">
        <v>100</v>
      </c>
      <c r="C7">
        <v>403</v>
      </c>
      <c r="D7" s="2" t="s">
        <v>62</v>
      </c>
      <c r="E7" s="1">
        <v>44475.293856886572</v>
      </c>
      <c r="F7" s="2" t="s">
        <v>63</v>
      </c>
      <c r="G7" s="2" t="s">
        <v>63</v>
      </c>
      <c r="H7" s="2" t="s">
        <v>63</v>
      </c>
      <c r="I7" s="2" t="s">
        <v>63</v>
      </c>
      <c r="J7" s="2" t="s">
        <v>64</v>
      </c>
      <c r="K7" s="2" t="s">
        <v>65</v>
      </c>
      <c r="L7" s="2" t="s">
        <v>66</v>
      </c>
      <c r="M7" s="2" t="s">
        <v>71</v>
      </c>
      <c r="N7" s="2" t="s">
        <v>66</v>
      </c>
      <c r="O7" s="2" t="s">
        <v>78</v>
      </c>
      <c r="P7" s="2" t="s">
        <v>71</v>
      </c>
      <c r="Q7" s="2" t="s">
        <v>66</v>
      </c>
      <c r="R7" s="2" t="s">
        <v>69</v>
      </c>
      <c r="S7">
        <v>3</v>
      </c>
      <c r="T7">
        <v>3</v>
      </c>
      <c r="U7">
        <v>4</v>
      </c>
      <c r="V7">
        <v>4</v>
      </c>
      <c r="W7">
        <v>4</v>
      </c>
      <c r="X7">
        <v>2</v>
      </c>
      <c r="Y7" s="2" t="s">
        <v>69</v>
      </c>
      <c r="Z7">
        <v>3</v>
      </c>
      <c r="AA7">
        <v>4</v>
      </c>
      <c r="AB7">
        <v>3</v>
      </c>
      <c r="AC7">
        <v>3</v>
      </c>
      <c r="AD7">
        <v>4</v>
      </c>
      <c r="AE7">
        <v>3</v>
      </c>
      <c r="AF7" s="10" t="s">
        <v>79</v>
      </c>
      <c r="AG7" s="4"/>
      <c r="AH7" s="8">
        <v>5</v>
      </c>
      <c r="AI7">
        <v>1</v>
      </c>
      <c r="AJ7">
        <v>1</v>
      </c>
      <c r="AK7" s="8" t="s">
        <v>315</v>
      </c>
      <c r="AL7" t="s">
        <v>319</v>
      </c>
      <c r="AM7" t="str">
        <f t="shared" si="13"/>
        <v>Lie</v>
      </c>
      <c r="AN7" s="4"/>
      <c r="AO7">
        <f t="shared" si="0"/>
        <v>1</v>
      </c>
      <c r="AP7">
        <f t="shared" si="1"/>
        <v>2</v>
      </c>
      <c r="AQ7">
        <f t="shared" si="2"/>
        <v>1</v>
      </c>
      <c r="AR7">
        <f t="shared" si="3"/>
        <v>7</v>
      </c>
      <c r="AS7">
        <f t="shared" si="14"/>
        <v>1</v>
      </c>
      <c r="AT7">
        <f t="shared" si="4"/>
        <v>2</v>
      </c>
      <c r="AU7">
        <f t="shared" si="5"/>
        <v>1</v>
      </c>
      <c r="AV7" s="19">
        <f t="shared" si="15"/>
        <v>1.3333333333333333</v>
      </c>
      <c r="AW7" s="4"/>
      <c r="AY7">
        <v>0</v>
      </c>
      <c r="AZ7">
        <v>2</v>
      </c>
      <c r="BA7">
        <v>5</v>
      </c>
      <c r="BB7">
        <v>3</v>
      </c>
      <c r="BC7">
        <v>5</v>
      </c>
      <c r="BD7">
        <v>5</v>
      </c>
      <c r="BE7">
        <f t="shared" si="6"/>
        <v>10</v>
      </c>
      <c r="BF7">
        <f t="shared" si="7"/>
        <v>1</v>
      </c>
      <c r="BG7">
        <f t="shared" si="8"/>
        <v>11</v>
      </c>
      <c r="BI7">
        <v>1</v>
      </c>
      <c r="BJ7">
        <v>2</v>
      </c>
      <c r="BK7">
        <v>4</v>
      </c>
      <c r="BL7">
        <v>3</v>
      </c>
      <c r="BM7">
        <v>5</v>
      </c>
      <c r="BN7">
        <v>5</v>
      </c>
      <c r="BO7">
        <f t="shared" si="9"/>
        <v>8</v>
      </c>
      <c r="BP7">
        <f t="shared" si="10"/>
        <v>0</v>
      </c>
      <c r="BQ7">
        <f t="shared" si="11"/>
        <v>8</v>
      </c>
      <c r="BR7">
        <f t="shared" si="12"/>
        <v>19</v>
      </c>
    </row>
    <row r="8" spans="1:70" ht="30" x14ac:dyDescent="0.25">
      <c r="A8" s="2" t="s">
        <v>33</v>
      </c>
      <c r="B8">
        <v>100</v>
      </c>
      <c r="C8">
        <v>216</v>
      </c>
      <c r="D8" s="2" t="s">
        <v>62</v>
      </c>
      <c r="E8" s="1">
        <v>44475.29677666667</v>
      </c>
      <c r="F8" s="2" t="s">
        <v>63</v>
      </c>
      <c r="G8" s="2" t="s">
        <v>63</v>
      </c>
      <c r="H8" s="2" t="s">
        <v>63</v>
      </c>
      <c r="I8" s="2" t="s">
        <v>63</v>
      </c>
      <c r="J8" s="2" t="s">
        <v>64</v>
      </c>
      <c r="K8" s="2" t="s">
        <v>65</v>
      </c>
      <c r="L8" s="2" t="s">
        <v>66</v>
      </c>
      <c r="M8" s="2" t="s">
        <v>66</v>
      </c>
      <c r="N8" s="2" t="s">
        <v>66</v>
      </c>
      <c r="O8" s="2" t="s">
        <v>67</v>
      </c>
      <c r="P8" s="2" t="s">
        <v>66</v>
      </c>
      <c r="Q8" s="2" t="s">
        <v>66</v>
      </c>
      <c r="R8" s="2" t="s">
        <v>68</v>
      </c>
      <c r="S8">
        <v>3</v>
      </c>
      <c r="T8">
        <v>3</v>
      </c>
      <c r="U8">
        <v>2</v>
      </c>
      <c r="V8">
        <v>5</v>
      </c>
      <c r="W8">
        <v>4</v>
      </c>
      <c r="X8">
        <v>3</v>
      </c>
      <c r="Y8" s="2" t="s">
        <v>68</v>
      </c>
      <c r="Z8">
        <v>3</v>
      </c>
      <c r="AA8">
        <v>4</v>
      </c>
      <c r="AB8">
        <v>2</v>
      </c>
      <c r="AC8">
        <v>5</v>
      </c>
      <c r="AD8">
        <v>4</v>
      </c>
      <c r="AE8">
        <v>2</v>
      </c>
      <c r="AF8" s="10" t="s">
        <v>80</v>
      </c>
      <c r="AG8" s="4"/>
      <c r="AH8" s="8">
        <v>6</v>
      </c>
      <c r="AI8">
        <v>0</v>
      </c>
      <c r="AJ8">
        <v>19</v>
      </c>
      <c r="AK8" s="8" t="s">
        <v>317</v>
      </c>
      <c r="AL8" t="s">
        <v>320</v>
      </c>
      <c r="AM8" t="str">
        <f t="shared" si="13"/>
        <v>Lie</v>
      </c>
      <c r="AN8" s="4"/>
      <c r="AO8">
        <f t="shared" si="0"/>
        <v>1</v>
      </c>
      <c r="AP8">
        <f t="shared" si="1"/>
        <v>1</v>
      </c>
      <c r="AQ8">
        <f t="shared" si="2"/>
        <v>1</v>
      </c>
      <c r="AR8">
        <f t="shared" si="3"/>
        <v>6</v>
      </c>
      <c r="AS8">
        <f t="shared" si="14"/>
        <v>2</v>
      </c>
      <c r="AT8">
        <f t="shared" si="4"/>
        <v>1</v>
      </c>
      <c r="AU8">
        <f t="shared" si="5"/>
        <v>1</v>
      </c>
      <c r="AV8" s="19">
        <f t="shared" si="15"/>
        <v>1.1666666666666667</v>
      </c>
      <c r="AW8" s="4"/>
      <c r="AY8">
        <v>1</v>
      </c>
      <c r="AZ8">
        <v>3</v>
      </c>
      <c r="BA8">
        <v>3</v>
      </c>
      <c r="BB8">
        <v>3</v>
      </c>
      <c r="BC8">
        <v>2</v>
      </c>
      <c r="BD8">
        <v>1</v>
      </c>
      <c r="BE8">
        <f t="shared" si="6"/>
        <v>9</v>
      </c>
      <c r="BF8">
        <f t="shared" si="7"/>
        <v>1</v>
      </c>
      <c r="BG8">
        <f t="shared" si="8"/>
        <v>10</v>
      </c>
      <c r="BI8">
        <v>3</v>
      </c>
      <c r="BJ8">
        <v>6</v>
      </c>
      <c r="BK8">
        <v>2</v>
      </c>
      <c r="BL8">
        <v>1</v>
      </c>
      <c r="BM8">
        <v>5</v>
      </c>
      <c r="BN8">
        <v>3</v>
      </c>
      <c r="BO8">
        <f t="shared" si="9"/>
        <v>8</v>
      </c>
      <c r="BP8">
        <f t="shared" si="10"/>
        <v>1</v>
      </c>
      <c r="BQ8">
        <f t="shared" si="11"/>
        <v>9</v>
      </c>
      <c r="BR8">
        <f t="shared" si="12"/>
        <v>19</v>
      </c>
    </row>
    <row r="9" spans="1:70" ht="45" x14ac:dyDescent="0.25">
      <c r="A9" s="2" t="s">
        <v>33</v>
      </c>
      <c r="B9">
        <v>100</v>
      </c>
      <c r="C9">
        <v>175</v>
      </c>
      <c r="D9" s="2" t="s">
        <v>62</v>
      </c>
      <c r="E9" s="1">
        <v>44475.303424733793</v>
      </c>
      <c r="F9" s="2" t="s">
        <v>63</v>
      </c>
      <c r="G9" s="2" t="s">
        <v>63</v>
      </c>
      <c r="H9" s="2" t="s">
        <v>63</v>
      </c>
      <c r="I9" s="2" t="s">
        <v>63</v>
      </c>
      <c r="J9" s="2" t="s">
        <v>64</v>
      </c>
      <c r="K9" s="2" t="s">
        <v>65</v>
      </c>
      <c r="L9" s="2" t="s">
        <v>81</v>
      </c>
      <c r="M9" s="2" t="s">
        <v>74</v>
      </c>
      <c r="N9" s="2" t="s">
        <v>74</v>
      </c>
      <c r="O9" s="2" t="s">
        <v>74</v>
      </c>
      <c r="P9" s="2" t="s">
        <v>74</v>
      </c>
      <c r="Q9" s="2" t="s">
        <v>71</v>
      </c>
      <c r="R9" s="2" t="s">
        <v>72</v>
      </c>
      <c r="S9">
        <v>3</v>
      </c>
      <c r="T9">
        <v>3</v>
      </c>
      <c r="U9">
        <v>3</v>
      </c>
      <c r="V9">
        <v>3</v>
      </c>
      <c r="W9">
        <v>4</v>
      </c>
      <c r="X9">
        <v>4</v>
      </c>
      <c r="Y9" s="2" t="s">
        <v>68</v>
      </c>
      <c r="Z9">
        <v>3</v>
      </c>
      <c r="AA9">
        <v>2</v>
      </c>
      <c r="AB9">
        <v>3</v>
      </c>
      <c r="AC9">
        <v>3</v>
      </c>
      <c r="AD9">
        <v>5</v>
      </c>
      <c r="AE9">
        <v>4</v>
      </c>
      <c r="AF9" s="10" t="s">
        <v>82</v>
      </c>
      <c r="AG9" s="4"/>
      <c r="AH9" s="8">
        <v>7</v>
      </c>
      <c r="AI9">
        <v>0</v>
      </c>
      <c r="AJ9">
        <v>13</v>
      </c>
      <c r="AK9" s="8" t="s">
        <v>315</v>
      </c>
      <c r="AL9" t="s">
        <v>319</v>
      </c>
      <c r="AM9" t="str">
        <f t="shared" si="13"/>
        <v>Lie</v>
      </c>
      <c r="AN9" s="4"/>
      <c r="AO9">
        <f t="shared" si="0"/>
        <v>5</v>
      </c>
      <c r="AP9">
        <f t="shared" si="1"/>
        <v>3</v>
      </c>
      <c r="AQ9">
        <f t="shared" si="2"/>
        <v>3</v>
      </c>
      <c r="AR9">
        <f t="shared" si="3"/>
        <v>3</v>
      </c>
      <c r="AS9">
        <f t="shared" si="14"/>
        <v>5</v>
      </c>
      <c r="AT9">
        <f t="shared" si="4"/>
        <v>3</v>
      </c>
      <c r="AU9">
        <f t="shared" si="5"/>
        <v>2</v>
      </c>
      <c r="AV9" s="19">
        <f t="shared" si="15"/>
        <v>3.5</v>
      </c>
      <c r="AW9" s="4"/>
      <c r="AY9">
        <v>4</v>
      </c>
      <c r="AZ9">
        <v>4</v>
      </c>
      <c r="BA9">
        <v>3</v>
      </c>
      <c r="BB9">
        <v>1</v>
      </c>
      <c r="BC9">
        <v>5</v>
      </c>
      <c r="BD9">
        <v>3</v>
      </c>
      <c r="BE9">
        <f t="shared" si="6"/>
        <v>6</v>
      </c>
      <c r="BF9">
        <f t="shared" si="7"/>
        <v>0</v>
      </c>
      <c r="BG9">
        <f t="shared" si="8"/>
        <v>6</v>
      </c>
      <c r="BI9">
        <v>4</v>
      </c>
      <c r="BJ9">
        <v>6</v>
      </c>
      <c r="BK9">
        <v>1</v>
      </c>
      <c r="BL9">
        <v>1</v>
      </c>
      <c r="BM9">
        <v>6</v>
      </c>
      <c r="BN9">
        <v>2</v>
      </c>
      <c r="BO9">
        <f t="shared" si="9"/>
        <v>12</v>
      </c>
      <c r="BP9">
        <f t="shared" si="10"/>
        <v>1</v>
      </c>
      <c r="BQ9">
        <f t="shared" si="11"/>
        <v>13</v>
      </c>
      <c r="BR9">
        <f t="shared" si="12"/>
        <v>19</v>
      </c>
    </row>
    <row r="10" spans="1:70" ht="45" x14ac:dyDescent="0.25">
      <c r="A10" s="2" t="s">
        <v>33</v>
      </c>
      <c r="B10">
        <v>100</v>
      </c>
      <c r="C10">
        <v>218</v>
      </c>
      <c r="D10" s="2" t="s">
        <v>62</v>
      </c>
      <c r="E10" s="1">
        <v>44475.303676319447</v>
      </c>
      <c r="F10" s="2" t="s">
        <v>63</v>
      </c>
      <c r="G10" s="2" t="s">
        <v>63</v>
      </c>
      <c r="H10" s="2" t="s">
        <v>63</v>
      </c>
      <c r="I10" s="2" t="s">
        <v>63</v>
      </c>
      <c r="J10" s="2" t="s">
        <v>64</v>
      </c>
      <c r="K10" s="2" t="s">
        <v>65</v>
      </c>
      <c r="L10" s="2" t="s">
        <v>66</v>
      </c>
      <c r="M10" s="2" t="s">
        <v>81</v>
      </c>
      <c r="N10" s="2" t="s">
        <v>71</v>
      </c>
      <c r="O10" s="2" t="s">
        <v>67</v>
      </c>
      <c r="P10" s="2" t="s">
        <v>81</v>
      </c>
      <c r="Q10" s="2" t="s">
        <v>74</v>
      </c>
      <c r="R10" s="2" t="s">
        <v>69</v>
      </c>
      <c r="S10">
        <v>3</v>
      </c>
      <c r="T10">
        <v>3</v>
      </c>
      <c r="U10">
        <v>3</v>
      </c>
      <c r="V10">
        <v>2</v>
      </c>
      <c r="W10">
        <v>5</v>
      </c>
      <c r="X10">
        <v>4</v>
      </c>
      <c r="Y10" s="2" t="s">
        <v>69</v>
      </c>
      <c r="Z10">
        <v>2</v>
      </c>
      <c r="AA10">
        <v>4</v>
      </c>
      <c r="AB10">
        <v>3</v>
      </c>
      <c r="AC10">
        <v>4</v>
      </c>
      <c r="AD10">
        <v>4</v>
      </c>
      <c r="AE10">
        <v>3</v>
      </c>
      <c r="AF10" s="10" t="s">
        <v>83</v>
      </c>
      <c r="AG10" s="4"/>
      <c r="AH10" s="8">
        <v>8</v>
      </c>
      <c r="AI10">
        <v>1</v>
      </c>
      <c r="AJ10">
        <v>2</v>
      </c>
      <c r="AK10" s="8" t="s">
        <v>315</v>
      </c>
      <c r="AL10" t="s">
        <v>319</v>
      </c>
      <c r="AM10" t="str">
        <f t="shared" si="13"/>
        <v>Lie</v>
      </c>
      <c r="AN10" s="4"/>
      <c r="AO10">
        <f t="shared" si="0"/>
        <v>1</v>
      </c>
      <c r="AP10">
        <f t="shared" si="1"/>
        <v>5</v>
      </c>
      <c r="AQ10">
        <f t="shared" si="2"/>
        <v>2</v>
      </c>
      <c r="AR10">
        <f t="shared" si="3"/>
        <v>6</v>
      </c>
      <c r="AS10">
        <f t="shared" si="14"/>
        <v>2</v>
      </c>
      <c r="AT10">
        <f t="shared" si="4"/>
        <v>5</v>
      </c>
      <c r="AU10">
        <f t="shared" si="5"/>
        <v>3</v>
      </c>
      <c r="AV10" s="19">
        <f t="shared" si="15"/>
        <v>3</v>
      </c>
      <c r="AW10" s="4"/>
      <c r="AY10">
        <v>4</v>
      </c>
      <c r="AZ10">
        <v>3</v>
      </c>
      <c r="BA10">
        <v>3</v>
      </c>
      <c r="BB10">
        <v>4</v>
      </c>
      <c r="BC10">
        <v>4</v>
      </c>
      <c r="BD10">
        <v>2</v>
      </c>
      <c r="BE10">
        <f t="shared" si="6"/>
        <v>6</v>
      </c>
      <c r="BF10">
        <f t="shared" si="7"/>
        <v>1</v>
      </c>
      <c r="BG10">
        <f t="shared" si="8"/>
        <v>7</v>
      </c>
      <c r="BI10">
        <v>4</v>
      </c>
      <c r="BJ10">
        <v>3</v>
      </c>
      <c r="BK10">
        <v>2</v>
      </c>
      <c r="BL10">
        <v>3</v>
      </c>
      <c r="BM10">
        <v>6</v>
      </c>
      <c r="BN10">
        <v>2</v>
      </c>
      <c r="BO10">
        <f t="shared" si="9"/>
        <v>8</v>
      </c>
      <c r="BP10">
        <f t="shared" si="10"/>
        <v>0</v>
      </c>
      <c r="BQ10">
        <f t="shared" si="11"/>
        <v>8</v>
      </c>
      <c r="BR10">
        <f t="shared" si="12"/>
        <v>15</v>
      </c>
    </row>
    <row r="11" spans="1:70" ht="30" x14ac:dyDescent="0.25">
      <c r="A11" s="2" t="s">
        <v>33</v>
      </c>
      <c r="B11">
        <v>100</v>
      </c>
      <c r="C11">
        <v>391</v>
      </c>
      <c r="D11" s="2" t="s">
        <v>62</v>
      </c>
      <c r="E11" s="1">
        <v>44475.305954189818</v>
      </c>
      <c r="F11" s="2" t="s">
        <v>63</v>
      </c>
      <c r="G11" s="2" t="s">
        <v>63</v>
      </c>
      <c r="H11" s="2" t="s">
        <v>63</v>
      </c>
      <c r="I11" s="2" t="s">
        <v>63</v>
      </c>
      <c r="J11" s="2" t="s">
        <v>64</v>
      </c>
      <c r="K11" s="2" t="s">
        <v>65</v>
      </c>
      <c r="L11" s="2" t="s">
        <v>66</v>
      </c>
      <c r="M11" s="2" t="s">
        <v>71</v>
      </c>
      <c r="N11" s="2" t="s">
        <v>66</v>
      </c>
      <c r="O11" s="2" t="s">
        <v>78</v>
      </c>
      <c r="P11" s="2" t="s">
        <v>71</v>
      </c>
      <c r="Q11" s="2" t="s">
        <v>71</v>
      </c>
      <c r="R11" s="2" t="s">
        <v>72</v>
      </c>
      <c r="S11">
        <v>1</v>
      </c>
      <c r="T11">
        <v>3</v>
      </c>
      <c r="U11">
        <v>4</v>
      </c>
      <c r="V11">
        <v>2</v>
      </c>
      <c r="W11">
        <v>6</v>
      </c>
      <c r="X11">
        <v>4</v>
      </c>
      <c r="Y11" s="2" t="s">
        <v>72</v>
      </c>
      <c r="Z11">
        <v>3</v>
      </c>
      <c r="AA11">
        <v>5</v>
      </c>
      <c r="AB11">
        <v>4</v>
      </c>
      <c r="AC11">
        <v>2</v>
      </c>
      <c r="AD11">
        <v>3</v>
      </c>
      <c r="AE11">
        <v>3</v>
      </c>
      <c r="AF11" s="10" t="s">
        <v>84</v>
      </c>
      <c r="AG11" s="4"/>
      <c r="AH11" s="8">
        <v>9</v>
      </c>
      <c r="AI11">
        <v>2</v>
      </c>
      <c r="AJ11">
        <v>2</v>
      </c>
      <c r="AK11" s="8" t="s">
        <v>315</v>
      </c>
      <c r="AL11" t="s">
        <v>319</v>
      </c>
      <c r="AM11" t="str">
        <f t="shared" si="13"/>
        <v>Lie</v>
      </c>
      <c r="AN11" s="4"/>
      <c r="AO11">
        <f t="shared" si="0"/>
        <v>1</v>
      </c>
      <c r="AP11">
        <f t="shared" si="1"/>
        <v>2</v>
      </c>
      <c r="AQ11">
        <f t="shared" si="2"/>
        <v>1</v>
      </c>
      <c r="AR11">
        <f t="shared" si="3"/>
        <v>7</v>
      </c>
      <c r="AS11">
        <f t="shared" si="14"/>
        <v>1</v>
      </c>
      <c r="AT11">
        <f t="shared" si="4"/>
        <v>2</v>
      </c>
      <c r="AU11">
        <f t="shared" si="5"/>
        <v>2</v>
      </c>
      <c r="AV11" s="19">
        <f t="shared" si="15"/>
        <v>1.5</v>
      </c>
      <c r="AW11" s="4"/>
      <c r="AY11">
        <v>1</v>
      </c>
      <c r="AZ11">
        <v>5</v>
      </c>
      <c r="BA11">
        <v>5</v>
      </c>
      <c r="BB11">
        <v>2</v>
      </c>
      <c r="BC11">
        <v>4</v>
      </c>
      <c r="BD11">
        <v>3</v>
      </c>
      <c r="BE11">
        <f t="shared" si="6"/>
        <v>6</v>
      </c>
      <c r="BF11">
        <f t="shared" si="7"/>
        <v>0</v>
      </c>
      <c r="BG11">
        <f t="shared" si="8"/>
        <v>6</v>
      </c>
      <c r="BI11">
        <v>0</v>
      </c>
      <c r="BJ11">
        <v>4</v>
      </c>
      <c r="BK11">
        <v>6</v>
      </c>
      <c r="BL11">
        <v>1</v>
      </c>
      <c r="BM11">
        <v>5</v>
      </c>
      <c r="BN11">
        <v>4</v>
      </c>
      <c r="BO11">
        <f t="shared" si="9"/>
        <v>10</v>
      </c>
      <c r="BP11">
        <f t="shared" si="10"/>
        <v>1</v>
      </c>
      <c r="BQ11">
        <f t="shared" si="11"/>
        <v>11</v>
      </c>
      <c r="BR11">
        <f t="shared" si="12"/>
        <v>17</v>
      </c>
    </row>
    <row r="12" spans="1:70" ht="60" x14ac:dyDescent="0.25">
      <c r="A12" s="2" t="s">
        <v>33</v>
      </c>
      <c r="B12">
        <v>100</v>
      </c>
      <c r="C12">
        <v>221</v>
      </c>
      <c r="D12" s="2" t="s">
        <v>62</v>
      </c>
      <c r="E12" s="1">
        <v>44475.306540891201</v>
      </c>
      <c r="F12" s="2" t="s">
        <v>63</v>
      </c>
      <c r="G12" s="2" t="s">
        <v>63</v>
      </c>
      <c r="H12" s="2" t="s">
        <v>63</v>
      </c>
      <c r="I12" s="2" t="s">
        <v>63</v>
      </c>
      <c r="J12" s="2" t="s">
        <v>64</v>
      </c>
      <c r="K12" s="2" t="s">
        <v>65</v>
      </c>
      <c r="L12" s="2" t="s">
        <v>71</v>
      </c>
      <c r="M12" s="2" t="s">
        <v>75</v>
      </c>
      <c r="N12" s="2" t="s">
        <v>71</v>
      </c>
      <c r="O12" s="2" t="s">
        <v>81</v>
      </c>
      <c r="P12" s="2" t="s">
        <v>71</v>
      </c>
      <c r="Q12" s="2" t="s">
        <v>74</v>
      </c>
      <c r="R12" s="2" t="s">
        <v>72</v>
      </c>
      <c r="S12">
        <v>2</v>
      </c>
      <c r="T12">
        <v>2</v>
      </c>
      <c r="U12">
        <v>2</v>
      </c>
      <c r="V12">
        <v>4</v>
      </c>
      <c r="W12">
        <v>6</v>
      </c>
      <c r="X12">
        <v>4</v>
      </c>
      <c r="Y12" s="2" t="s">
        <v>68</v>
      </c>
      <c r="Z12">
        <v>2</v>
      </c>
      <c r="AA12">
        <v>2</v>
      </c>
      <c r="AB12">
        <v>2</v>
      </c>
      <c r="AC12">
        <v>4</v>
      </c>
      <c r="AD12">
        <v>6</v>
      </c>
      <c r="AE12">
        <v>4</v>
      </c>
      <c r="AF12" s="10" t="s">
        <v>85</v>
      </c>
      <c r="AG12" s="4"/>
      <c r="AH12" s="8">
        <v>10</v>
      </c>
      <c r="AI12">
        <v>0</v>
      </c>
      <c r="AJ12">
        <v>0</v>
      </c>
      <c r="AK12" s="8" t="s">
        <v>315</v>
      </c>
      <c r="AL12" t="s">
        <v>316</v>
      </c>
      <c r="AM12" t="str">
        <f t="shared" si="13"/>
        <v>Honest</v>
      </c>
      <c r="AN12" s="4"/>
      <c r="AO12">
        <f t="shared" si="0"/>
        <v>2</v>
      </c>
      <c r="AP12">
        <f t="shared" si="1"/>
        <v>4</v>
      </c>
      <c r="AQ12">
        <f t="shared" si="2"/>
        <v>2</v>
      </c>
      <c r="AR12">
        <f t="shared" si="3"/>
        <v>5</v>
      </c>
      <c r="AS12">
        <f t="shared" si="14"/>
        <v>3</v>
      </c>
      <c r="AT12">
        <f t="shared" si="4"/>
        <v>2</v>
      </c>
      <c r="AU12">
        <f t="shared" si="5"/>
        <v>3</v>
      </c>
      <c r="AV12" s="19">
        <f t="shared" si="15"/>
        <v>2.6666666666666665</v>
      </c>
      <c r="AW12" s="4"/>
      <c r="AY12">
        <v>4</v>
      </c>
      <c r="AZ12">
        <v>1</v>
      </c>
      <c r="BA12">
        <v>4</v>
      </c>
      <c r="BB12">
        <v>1</v>
      </c>
      <c r="BC12">
        <v>5</v>
      </c>
      <c r="BD12">
        <v>5</v>
      </c>
      <c r="BE12">
        <f t="shared" si="6"/>
        <v>10</v>
      </c>
      <c r="BF12">
        <f t="shared" si="7"/>
        <v>0</v>
      </c>
      <c r="BG12">
        <f t="shared" si="8"/>
        <v>10</v>
      </c>
      <c r="BI12">
        <v>4</v>
      </c>
      <c r="BJ12">
        <v>1</v>
      </c>
      <c r="BK12">
        <v>4</v>
      </c>
      <c r="BL12">
        <v>1</v>
      </c>
      <c r="BM12">
        <v>5</v>
      </c>
      <c r="BN12">
        <v>5</v>
      </c>
      <c r="BO12">
        <f t="shared" si="9"/>
        <v>10</v>
      </c>
      <c r="BP12">
        <f t="shared" si="10"/>
        <v>1</v>
      </c>
      <c r="BQ12">
        <f t="shared" si="11"/>
        <v>11</v>
      </c>
      <c r="BR12">
        <f t="shared" si="12"/>
        <v>21</v>
      </c>
    </row>
    <row r="13" spans="1:70" ht="30" x14ac:dyDescent="0.25">
      <c r="A13" s="2" t="s">
        <v>33</v>
      </c>
      <c r="B13">
        <v>100</v>
      </c>
      <c r="C13">
        <v>211</v>
      </c>
      <c r="D13" s="2" t="s">
        <v>62</v>
      </c>
      <c r="E13" s="1">
        <v>44475.308245509259</v>
      </c>
      <c r="F13" s="2" t="s">
        <v>63</v>
      </c>
      <c r="G13" s="2" t="s">
        <v>63</v>
      </c>
      <c r="H13" s="2" t="s">
        <v>63</v>
      </c>
      <c r="I13" s="2" t="s">
        <v>63</v>
      </c>
      <c r="J13" s="2" t="s">
        <v>64</v>
      </c>
      <c r="K13" s="2" t="s">
        <v>65</v>
      </c>
      <c r="L13" s="2" t="s">
        <v>71</v>
      </c>
      <c r="M13" s="2" t="s">
        <v>71</v>
      </c>
      <c r="N13" s="2" t="s">
        <v>71</v>
      </c>
      <c r="O13" s="2" t="s">
        <v>74</v>
      </c>
      <c r="P13" s="2" t="s">
        <v>74</v>
      </c>
      <c r="Q13" s="2" t="s">
        <v>74</v>
      </c>
      <c r="R13" s="2" t="s">
        <v>72</v>
      </c>
      <c r="S13">
        <v>4</v>
      </c>
      <c r="T13">
        <v>1</v>
      </c>
      <c r="U13">
        <v>2</v>
      </c>
      <c r="V13">
        <v>3</v>
      </c>
      <c r="W13">
        <v>6</v>
      </c>
      <c r="X13">
        <v>4</v>
      </c>
      <c r="Y13" s="2" t="s">
        <v>72</v>
      </c>
      <c r="Z13">
        <v>3</v>
      </c>
      <c r="AA13">
        <v>3</v>
      </c>
      <c r="AB13">
        <v>2</v>
      </c>
      <c r="AC13">
        <v>4</v>
      </c>
      <c r="AD13">
        <v>4</v>
      </c>
      <c r="AE13">
        <v>4</v>
      </c>
      <c r="AF13" s="10" t="s">
        <v>86</v>
      </c>
      <c r="AG13" s="4"/>
      <c r="AH13" s="8">
        <v>11</v>
      </c>
      <c r="AI13">
        <v>0</v>
      </c>
      <c r="AJ13">
        <v>0</v>
      </c>
      <c r="AK13" s="8" t="s">
        <v>317</v>
      </c>
      <c r="AL13" t="s">
        <v>318</v>
      </c>
      <c r="AM13" t="str">
        <f t="shared" si="13"/>
        <v>Honest</v>
      </c>
      <c r="AN13" s="4"/>
      <c r="AO13">
        <f t="shared" si="0"/>
        <v>2</v>
      </c>
      <c r="AP13">
        <f t="shared" si="1"/>
        <v>2</v>
      </c>
      <c r="AQ13">
        <f t="shared" si="2"/>
        <v>2</v>
      </c>
      <c r="AR13">
        <f t="shared" si="3"/>
        <v>3</v>
      </c>
      <c r="AS13">
        <f t="shared" si="14"/>
        <v>5</v>
      </c>
      <c r="AT13">
        <f t="shared" si="4"/>
        <v>3</v>
      </c>
      <c r="AU13">
        <f t="shared" si="5"/>
        <v>3</v>
      </c>
      <c r="AV13" s="19">
        <f t="shared" si="15"/>
        <v>2.8333333333333335</v>
      </c>
      <c r="AW13" s="4"/>
      <c r="AY13">
        <v>3</v>
      </c>
      <c r="AZ13">
        <v>2</v>
      </c>
      <c r="BA13">
        <v>3</v>
      </c>
      <c r="BB13">
        <v>4</v>
      </c>
      <c r="BC13">
        <v>5</v>
      </c>
      <c r="BD13">
        <v>3</v>
      </c>
      <c r="BE13">
        <f t="shared" si="6"/>
        <v>6</v>
      </c>
      <c r="BF13">
        <f t="shared" si="7"/>
        <v>0</v>
      </c>
      <c r="BG13">
        <f t="shared" si="8"/>
        <v>6</v>
      </c>
      <c r="BI13">
        <v>3</v>
      </c>
      <c r="BJ13">
        <v>2</v>
      </c>
      <c r="BK13">
        <v>3</v>
      </c>
      <c r="BL13">
        <v>4</v>
      </c>
      <c r="BM13">
        <v>5</v>
      </c>
      <c r="BN13">
        <v>3</v>
      </c>
      <c r="BO13">
        <f t="shared" si="9"/>
        <v>4</v>
      </c>
      <c r="BP13">
        <f t="shared" si="10"/>
        <v>1</v>
      </c>
      <c r="BQ13">
        <f t="shared" si="11"/>
        <v>5</v>
      </c>
      <c r="BR13">
        <f t="shared" si="12"/>
        <v>11</v>
      </c>
    </row>
    <row r="14" spans="1:70" ht="30" x14ac:dyDescent="0.25">
      <c r="A14" s="2" t="s">
        <v>33</v>
      </c>
      <c r="B14">
        <v>100</v>
      </c>
      <c r="C14">
        <v>158</v>
      </c>
      <c r="D14" s="2" t="s">
        <v>62</v>
      </c>
      <c r="E14" s="1">
        <v>44475.309663194443</v>
      </c>
      <c r="F14" s="2" t="s">
        <v>63</v>
      </c>
      <c r="G14" s="2" t="s">
        <v>63</v>
      </c>
      <c r="H14" s="2" t="s">
        <v>63</v>
      </c>
      <c r="I14" s="2" t="s">
        <v>63</v>
      </c>
      <c r="J14" s="2" t="s">
        <v>64</v>
      </c>
      <c r="K14" s="2" t="s">
        <v>65</v>
      </c>
      <c r="L14" s="2" t="s">
        <v>66</v>
      </c>
      <c r="M14" s="2" t="s">
        <v>74</v>
      </c>
      <c r="N14" s="2" t="s">
        <v>66</v>
      </c>
      <c r="O14" s="2" t="s">
        <v>67</v>
      </c>
      <c r="P14" s="2" t="s">
        <v>71</v>
      </c>
      <c r="Q14" s="2" t="s">
        <v>74</v>
      </c>
      <c r="R14" s="2" t="s">
        <v>72</v>
      </c>
      <c r="S14">
        <v>3</v>
      </c>
      <c r="T14">
        <v>5</v>
      </c>
      <c r="U14">
        <v>2</v>
      </c>
      <c r="V14">
        <v>3</v>
      </c>
      <c r="W14">
        <v>5</v>
      </c>
      <c r="X14">
        <v>2</v>
      </c>
      <c r="Y14" s="2" t="s">
        <v>72</v>
      </c>
      <c r="Z14">
        <v>4</v>
      </c>
      <c r="AA14">
        <v>1</v>
      </c>
      <c r="AB14">
        <v>6</v>
      </c>
      <c r="AC14">
        <v>2</v>
      </c>
      <c r="AD14">
        <v>1</v>
      </c>
      <c r="AE14">
        <v>6</v>
      </c>
      <c r="AF14" s="10" t="s">
        <v>87</v>
      </c>
      <c r="AG14" s="4"/>
      <c r="AH14" s="8">
        <v>12</v>
      </c>
      <c r="AI14">
        <v>2</v>
      </c>
      <c r="AJ14">
        <v>0</v>
      </c>
      <c r="AK14" s="8" t="s">
        <v>315</v>
      </c>
      <c r="AL14" t="s">
        <v>316</v>
      </c>
      <c r="AM14" t="str">
        <f t="shared" si="13"/>
        <v>Honest</v>
      </c>
      <c r="AN14" s="4"/>
      <c r="AO14">
        <f t="shared" si="0"/>
        <v>1</v>
      </c>
      <c r="AP14">
        <f t="shared" si="1"/>
        <v>3</v>
      </c>
      <c r="AQ14">
        <f t="shared" si="2"/>
        <v>1</v>
      </c>
      <c r="AR14">
        <f t="shared" si="3"/>
        <v>6</v>
      </c>
      <c r="AS14">
        <f t="shared" si="14"/>
        <v>2</v>
      </c>
      <c r="AT14">
        <f t="shared" si="4"/>
        <v>2</v>
      </c>
      <c r="AU14">
        <f t="shared" si="5"/>
        <v>3</v>
      </c>
      <c r="AV14" s="19">
        <f t="shared" si="15"/>
        <v>2</v>
      </c>
      <c r="AW14" s="4"/>
      <c r="AY14">
        <v>2</v>
      </c>
      <c r="AZ14">
        <v>5</v>
      </c>
      <c r="BA14">
        <v>6</v>
      </c>
      <c r="BB14">
        <v>3</v>
      </c>
      <c r="BC14">
        <v>2</v>
      </c>
      <c r="BD14">
        <v>2</v>
      </c>
      <c r="BE14">
        <f t="shared" si="6"/>
        <v>8</v>
      </c>
      <c r="BF14">
        <f t="shared" si="7"/>
        <v>0</v>
      </c>
      <c r="BG14">
        <f t="shared" si="8"/>
        <v>8</v>
      </c>
      <c r="BI14">
        <v>2</v>
      </c>
      <c r="BJ14">
        <v>5</v>
      </c>
      <c r="BK14">
        <v>6</v>
      </c>
      <c r="BL14">
        <v>3</v>
      </c>
      <c r="BM14">
        <v>2</v>
      </c>
      <c r="BN14">
        <v>2</v>
      </c>
      <c r="BO14">
        <f t="shared" si="9"/>
        <v>12</v>
      </c>
      <c r="BP14">
        <f t="shared" si="10"/>
        <v>1</v>
      </c>
      <c r="BQ14">
        <f t="shared" si="11"/>
        <v>13</v>
      </c>
      <c r="BR14">
        <f t="shared" si="12"/>
        <v>21</v>
      </c>
    </row>
    <row r="15" spans="1:70" ht="30" x14ac:dyDescent="0.25">
      <c r="A15" s="2" t="s">
        <v>33</v>
      </c>
      <c r="B15">
        <v>100</v>
      </c>
      <c r="C15">
        <v>216</v>
      </c>
      <c r="D15" s="2" t="s">
        <v>62</v>
      </c>
      <c r="E15" s="1">
        <v>44475.310530011571</v>
      </c>
      <c r="F15" s="2" t="s">
        <v>63</v>
      </c>
      <c r="G15" s="2" t="s">
        <v>63</v>
      </c>
      <c r="H15" s="2" t="s">
        <v>63</v>
      </c>
      <c r="I15" s="2" t="s">
        <v>63</v>
      </c>
      <c r="J15" s="2" t="s">
        <v>64</v>
      </c>
      <c r="K15" s="2" t="s">
        <v>65</v>
      </c>
      <c r="L15" s="2" t="s">
        <v>66</v>
      </c>
      <c r="M15" s="2" t="s">
        <v>66</v>
      </c>
      <c r="N15" s="2" t="s">
        <v>66</v>
      </c>
      <c r="O15" s="2" t="s">
        <v>78</v>
      </c>
      <c r="P15" s="2" t="s">
        <v>66</v>
      </c>
      <c r="Q15" s="2" t="s">
        <v>66</v>
      </c>
      <c r="R15" s="2" t="s">
        <v>72</v>
      </c>
      <c r="S15">
        <v>2</v>
      </c>
      <c r="T15">
        <v>3</v>
      </c>
      <c r="U15">
        <v>3</v>
      </c>
      <c r="V15">
        <v>6</v>
      </c>
      <c r="W15">
        <v>3</v>
      </c>
      <c r="X15">
        <v>3</v>
      </c>
      <c r="Y15" s="2" t="s">
        <v>72</v>
      </c>
      <c r="Z15">
        <v>2</v>
      </c>
      <c r="AA15">
        <v>3</v>
      </c>
      <c r="AB15">
        <v>3</v>
      </c>
      <c r="AC15">
        <v>6</v>
      </c>
      <c r="AD15">
        <v>3</v>
      </c>
      <c r="AE15">
        <v>3</v>
      </c>
      <c r="AF15" s="10" t="s">
        <v>88</v>
      </c>
      <c r="AG15" s="4"/>
      <c r="AH15" s="8">
        <v>13</v>
      </c>
      <c r="AI15">
        <v>0</v>
      </c>
      <c r="AJ15">
        <v>0</v>
      </c>
      <c r="AK15" s="8" t="s">
        <v>317</v>
      </c>
      <c r="AL15" t="s">
        <v>318</v>
      </c>
      <c r="AM15" t="str">
        <f t="shared" si="13"/>
        <v>Honest</v>
      </c>
      <c r="AN15" s="4"/>
      <c r="AO15">
        <f t="shared" si="0"/>
        <v>1</v>
      </c>
      <c r="AP15">
        <f t="shared" si="1"/>
        <v>1</v>
      </c>
      <c r="AQ15">
        <f t="shared" si="2"/>
        <v>1</v>
      </c>
      <c r="AR15">
        <f t="shared" si="3"/>
        <v>7</v>
      </c>
      <c r="AS15">
        <f t="shared" si="14"/>
        <v>1</v>
      </c>
      <c r="AT15">
        <f t="shared" si="4"/>
        <v>1</v>
      </c>
      <c r="AU15">
        <f t="shared" si="5"/>
        <v>1</v>
      </c>
      <c r="AV15" s="19">
        <f t="shared" si="15"/>
        <v>1</v>
      </c>
      <c r="AW15" s="4"/>
      <c r="AY15">
        <v>4</v>
      </c>
      <c r="AZ15">
        <v>3</v>
      </c>
      <c r="BA15">
        <v>7</v>
      </c>
      <c r="BB15">
        <v>2</v>
      </c>
      <c r="BC15">
        <v>2</v>
      </c>
      <c r="BD15">
        <v>2</v>
      </c>
      <c r="BE15">
        <f t="shared" si="6"/>
        <v>12</v>
      </c>
      <c r="BF15">
        <f t="shared" si="7"/>
        <v>0</v>
      </c>
      <c r="BG15">
        <f t="shared" si="8"/>
        <v>12</v>
      </c>
      <c r="BI15">
        <v>4</v>
      </c>
      <c r="BJ15">
        <v>3</v>
      </c>
      <c r="BK15">
        <v>7</v>
      </c>
      <c r="BL15">
        <v>2</v>
      </c>
      <c r="BM15">
        <v>2</v>
      </c>
      <c r="BN15">
        <v>2</v>
      </c>
      <c r="BO15">
        <f t="shared" si="9"/>
        <v>12</v>
      </c>
      <c r="BP15">
        <f t="shared" si="10"/>
        <v>1</v>
      </c>
      <c r="BQ15">
        <f t="shared" si="11"/>
        <v>13</v>
      </c>
      <c r="BR15">
        <f t="shared" si="12"/>
        <v>25</v>
      </c>
    </row>
    <row r="16" spans="1:70" ht="30" x14ac:dyDescent="0.25">
      <c r="A16" s="2" t="s">
        <v>33</v>
      </c>
      <c r="B16">
        <v>100</v>
      </c>
      <c r="C16">
        <v>1004</v>
      </c>
      <c r="D16" s="2" t="s">
        <v>62</v>
      </c>
      <c r="E16" s="1">
        <v>44475.312753379629</v>
      </c>
      <c r="F16" s="2" t="s">
        <v>63</v>
      </c>
      <c r="G16" s="2" t="s">
        <v>63</v>
      </c>
      <c r="H16" s="2" t="s">
        <v>63</v>
      </c>
      <c r="I16" s="2" t="s">
        <v>63</v>
      </c>
      <c r="J16" s="2" t="s">
        <v>64</v>
      </c>
      <c r="K16" s="2" t="s">
        <v>65</v>
      </c>
      <c r="L16" s="2" t="s">
        <v>71</v>
      </c>
      <c r="M16" s="2" t="s">
        <v>71</v>
      </c>
      <c r="N16" s="2" t="s">
        <v>71</v>
      </c>
      <c r="O16" s="2" t="s">
        <v>67</v>
      </c>
      <c r="P16" s="2" t="s">
        <v>71</v>
      </c>
      <c r="Q16" s="2" t="s">
        <v>71</v>
      </c>
      <c r="R16" s="2" t="s">
        <v>69</v>
      </c>
      <c r="S16">
        <v>2</v>
      </c>
      <c r="T16">
        <v>3</v>
      </c>
      <c r="U16">
        <v>4</v>
      </c>
      <c r="V16">
        <v>5</v>
      </c>
      <c r="W16">
        <v>3</v>
      </c>
      <c r="X16">
        <v>3</v>
      </c>
      <c r="Y16" s="2" t="s">
        <v>69</v>
      </c>
      <c r="Z16">
        <v>2</v>
      </c>
      <c r="AA16">
        <v>3</v>
      </c>
      <c r="AB16">
        <v>4</v>
      </c>
      <c r="AC16">
        <v>5</v>
      </c>
      <c r="AD16">
        <v>3</v>
      </c>
      <c r="AE16">
        <v>3</v>
      </c>
      <c r="AF16" s="10" t="s">
        <v>89</v>
      </c>
      <c r="AG16" s="4"/>
      <c r="AH16" s="8">
        <v>14</v>
      </c>
      <c r="AI16">
        <v>0</v>
      </c>
      <c r="AJ16">
        <v>0</v>
      </c>
      <c r="AK16" s="8" t="s">
        <v>317</v>
      </c>
      <c r="AL16" t="s">
        <v>318</v>
      </c>
      <c r="AM16" t="str">
        <f t="shared" si="13"/>
        <v>Honest</v>
      </c>
      <c r="AN16" s="4"/>
      <c r="AO16">
        <f t="shared" si="0"/>
        <v>2</v>
      </c>
      <c r="AP16">
        <f t="shared" si="1"/>
        <v>2</v>
      </c>
      <c r="AQ16">
        <f t="shared" si="2"/>
        <v>2</v>
      </c>
      <c r="AR16">
        <f t="shared" si="3"/>
        <v>6</v>
      </c>
      <c r="AS16">
        <f t="shared" si="14"/>
        <v>2</v>
      </c>
      <c r="AT16">
        <f t="shared" si="4"/>
        <v>2</v>
      </c>
      <c r="AU16">
        <f t="shared" si="5"/>
        <v>2</v>
      </c>
      <c r="AV16" s="19">
        <f t="shared" si="15"/>
        <v>2</v>
      </c>
      <c r="AW16" s="4"/>
      <c r="AY16">
        <v>5</v>
      </c>
      <c r="AZ16">
        <v>2</v>
      </c>
      <c r="BA16">
        <v>3</v>
      </c>
      <c r="BB16">
        <v>3</v>
      </c>
      <c r="BC16">
        <v>5</v>
      </c>
      <c r="BD16">
        <v>2</v>
      </c>
      <c r="BE16">
        <f t="shared" si="6"/>
        <v>10</v>
      </c>
      <c r="BF16">
        <f t="shared" si="7"/>
        <v>1</v>
      </c>
      <c r="BG16">
        <f t="shared" si="8"/>
        <v>11</v>
      </c>
      <c r="BI16">
        <v>5</v>
      </c>
      <c r="BJ16">
        <v>2</v>
      </c>
      <c r="BK16">
        <v>3</v>
      </c>
      <c r="BL16">
        <v>3</v>
      </c>
      <c r="BM16">
        <v>5</v>
      </c>
      <c r="BN16">
        <v>2</v>
      </c>
      <c r="BO16">
        <f t="shared" si="9"/>
        <v>10</v>
      </c>
      <c r="BP16">
        <f t="shared" si="10"/>
        <v>0</v>
      </c>
      <c r="BQ16">
        <f t="shared" si="11"/>
        <v>10</v>
      </c>
      <c r="BR16">
        <f t="shared" si="12"/>
        <v>21</v>
      </c>
    </row>
    <row r="17" spans="1:70" ht="45" x14ac:dyDescent="0.25">
      <c r="A17" s="2" t="s">
        <v>33</v>
      </c>
      <c r="B17">
        <v>100</v>
      </c>
      <c r="C17">
        <v>447</v>
      </c>
      <c r="D17" s="2" t="s">
        <v>62</v>
      </c>
      <c r="E17" s="1">
        <v>44475.317148020833</v>
      </c>
      <c r="F17" s="2" t="s">
        <v>63</v>
      </c>
      <c r="G17" s="2" t="s">
        <v>63</v>
      </c>
      <c r="H17" s="2" t="s">
        <v>63</v>
      </c>
      <c r="I17" s="2" t="s">
        <v>63</v>
      </c>
      <c r="J17" s="2" t="s">
        <v>64</v>
      </c>
      <c r="K17" s="2" t="s">
        <v>65</v>
      </c>
      <c r="L17" s="2" t="s">
        <v>71</v>
      </c>
      <c r="M17" s="2" t="s">
        <v>74</v>
      </c>
      <c r="N17" s="2" t="s">
        <v>71</v>
      </c>
      <c r="O17" s="2" t="s">
        <v>81</v>
      </c>
      <c r="P17" s="2" t="s">
        <v>74</v>
      </c>
      <c r="Q17" s="2" t="s">
        <v>74</v>
      </c>
      <c r="R17" s="2" t="s">
        <v>72</v>
      </c>
      <c r="S17">
        <v>2</v>
      </c>
      <c r="T17">
        <v>4</v>
      </c>
      <c r="U17">
        <v>3</v>
      </c>
      <c r="V17">
        <v>3</v>
      </c>
      <c r="W17">
        <v>4</v>
      </c>
      <c r="X17">
        <v>4</v>
      </c>
      <c r="Y17" s="2" t="s">
        <v>69</v>
      </c>
      <c r="Z17">
        <v>4</v>
      </c>
      <c r="AA17">
        <v>4</v>
      </c>
      <c r="AB17">
        <v>3</v>
      </c>
      <c r="AC17">
        <v>3</v>
      </c>
      <c r="AD17">
        <v>3</v>
      </c>
      <c r="AE17">
        <v>3</v>
      </c>
      <c r="AF17" s="10" t="s">
        <v>90</v>
      </c>
      <c r="AG17" s="4"/>
      <c r="AH17" s="8">
        <v>15</v>
      </c>
      <c r="AI17">
        <v>0</v>
      </c>
      <c r="AJ17">
        <v>0</v>
      </c>
      <c r="AK17" s="8" t="s">
        <v>317</v>
      </c>
      <c r="AL17" t="s">
        <v>318</v>
      </c>
      <c r="AM17" t="str">
        <f t="shared" si="13"/>
        <v>Honest</v>
      </c>
      <c r="AN17" s="4"/>
      <c r="AO17">
        <f t="shared" si="0"/>
        <v>2</v>
      </c>
      <c r="AP17">
        <f t="shared" si="1"/>
        <v>3</v>
      </c>
      <c r="AQ17">
        <f t="shared" si="2"/>
        <v>2</v>
      </c>
      <c r="AR17">
        <f t="shared" si="3"/>
        <v>5</v>
      </c>
      <c r="AS17">
        <f t="shared" si="14"/>
        <v>3</v>
      </c>
      <c r="AT17">
        <f t="shared" si="4"/>
        <v>3</v>
      </c>
      <c r="AU17">
        <f t="shared" si="5"/>
        <v>3</v>
      </c>
      <c r="AV17" s="19">
        <f t="shared" si="15"/>
        <v>2.6666666666666665</v>
      </c>
      <c r="AW17" s="4"/>
      <c r="AY17">
        <v>2</v>
      </c>
      <c r="AZ17">
        <v>4</v>
      </c>
      <c r="BA17">
        <v>3</v>
      </c>
      <c r="BB17">
        <v>5</v>
      </c>
      <c r="BC17">
        <v>3</v>
      </c>
      <c r="BD17">
        <v>3</v>
      </c>
      <c r="BE17">
        <f t="shared" si="6"/>
        <v>4</v>
      </c>
      <c r="BF17">
        <f t="shared" si="7"/>
        <v>0</v>
      </c>
      <c r="BG17">
        <f t="shared" si="8"/>
        <v>4</v>
      </c>
      <c r="BI17">
        <v>2</v>
      </c>
      <c r="BJ17">
        <v>4</v>
      </c>
      <c r="BK17">
        <v>3</v>
      </c>
      <c r="BL17">
        <v>5</v>
      </c>
      <c r="BM17">
        <v>3</v>
      </c>
      <c r="BN17">
        <v>3</v>
      </c>
      <c r="BO17">
        <f t="shared" si="9"/>
        <v>4</v>
      </c>
      <c r="BP17">
        <f t="shared" si="10"/>
        <v>0</v>
      </c>
      <c r="BQ17">
        <f t="shared" si="11"/>
        <v>4</v>
      </c>
      <c r="BR17">
        <f t="shared" si="12"/>
        <v>8</v>
      </c>
    </row>
    <row r="18" spans="1:70" ht="60" x14ac:dyDescent="0.25">
      <c r="A18" s="2" t="s">
        <v>33</v>
      </c>
      <c r="B18">
        <v>100</v>
      </c>
      <c r="C18">
        <v>129</v>
      </c>
      <c r="D18" s="2" t="s">
        <v>62</v>
      </c>
      <c r="E18" s="1">
        <v>44475.327191886572</v>
      </c>
      <c r="F18" s="2" t="s">
        <v>63</v>
      </c>
      <c r="G18" s="2" t="s">
        <v>63</v>
      </c>
      <c r="H18" s="2" t="s">
        <v>63</v>
      </c>
      <c r="I18" s="2" t="s">
        <v>63</v>
      </c>
      <c r="J18" s="2" t="s">
        <v>64</v>
      </c>
      <c r="K18" s="2" t="s">
        <v>65</v>
      </c>
      <c r="L18" s="2" t="s">
        <v>66</v>
      </c>
      <c r="M18" s="2" t="s">
        <v>71</v>
      </c>
      <c r="N18" s="2" t="s">
        <v>71</v>
      </c>
      <c r="O18" s="2" t="s">
        <v>75</v>
      </c>
      <c r="P18" s="2" t="s">
        <v>71</v>
      </c>
      <c r="Q18" s="2" t="s">
        <v>71</v>
      </c>
      <c r="R18" s="2" t="s">
        <v>69</v>
      </c>
      <c r="S18">
        <v>2</v>
      </c>
      <c r="T18">
        <v>5</v>
      </c>
      <c r="U18">
        <v>0</v>
      </c>
      <c r="V18">
        <v>5</v>
      </c>
      <c r="W18">
        <v>0</v>
      </c>
      <c r="X18">
        <v>8</v>
      </c>
      <c r="Y18" s="2" t="s">
        <v>69</v>
      </c>
      <c r="Z18">
        <v>1</v>
      </c>
      <c r="AA18">
        <v>5</v>
      </c>
      <c r="AB18">
        <v>0</v>
      </c>
      <c r="AC18">
        <v>5</v>
      </c>
      <c r="AD18">
        <v>3</v>
      </c>
      <c r="AE18">
        <v>6</v>
      </c>
      <c r="AF18" s="10" t="s">
        <v>91</v>
      </c>
      <c r="AG18" s="4"/>
      <c r="AH18" s="8">
        <v>16</v>
      </c>
      <c r="AI18">
        <v>2</v>
      </c>
      <c r="AJ18">
        <v>1</v>
      </c>
      <c r="AK18" s="8" t="s">
        <v>315</v>
      </c>
      <c r="AL18" t="s">
        <v>319</v>
      </c>
      <c r="AM18" t="str">
        <f t="shared" si="13"/>
        <v>Lie</v>
      </c>
      <c r="AN18" s="4"/>
      <c r="AO18">
        <f t="shared" si="0"/>
        <v>1</v>
      </c>
      <c r="AP18">
        <f t="shared" si="1"/>
        <v>2</v>
      </c>
      <c r="AQ18">
        <f t="shared" si="2"/>
        <v>2</v>
      </c>
      <c r="AR18">
        <f t="shared" si="3"/>
        <v>4</v>
      </c>
      <c r="AS18">
        <f t="shared" si="14"/>
        <v>4</v>
      </c>
      <c r="AT18">
        <f t="shared" si="4"/>
        <v>2</v>
      </c>
      <c r="AU18">
        <f t="shared" si="5"/>
        <v>2</v>
      </c>
      <c r="AV18" s="19">
        <f t="shared" si="15"/>
        <v>2.1666666666666665</v>
      </c>
      <c r="AW18" s="4"/>
      <c r="AY18">
        <v>2</v>
      </c>
      <c r="AZ18">
        <v>4</v>
      </c>
      <c r="BA18">
        <v>2</v>
      </c>
      <c r="BB18">
        <v>5</v>
      </c>
      <c r="BC18">
        <v>2</v>
      </c>
      <c r="BD18">
        <v>2</v>
      </c>
      <c r="BE18">
        <f t="shared" si="6"/>
        <v>11</v>
      </c>
      <c r="BF18">
        <f t="shared" si="7"/>
        <v>1</v>
      </c>
      <c r="BG18">
        <f t="shared" si="8"/>
        <v>12</v>
      </c>
      <c r="BI18">
        <v>4</v>
      </c>
      <c r="BJ18">
        <v>5</v>
      </c>
      <c r="BK18">
        <v>3</v>
      </c>
      <c r="BL18">
        <v>5</v>
      </c>
      <c r="BM18">
        <v>1</v>
      </c>
      <c r="BN18">
        <v>2</v>
      </c>
      <c r="BO18">
        <f t="shared" si="9"/>
        <v>12</v>
      </c>
      <c r="BP18">
        <f t="shared" si="10"/>
        <v>0</v>
      </c>
      <c r="BQ18">
        <f t="shared" si="11"/>
        <v>12</v>
      </c>
      <c r="BR18">
        <f t="shared" si="12"/>
        <v>24</v>
      </c>
    </row>
    <row r="19" spans="1:70" ht="30" x14ac:dyDescent="0.25">
      <c r="A19" s="2" t="s">
        <v>33</v>
      </c>
      <c r="B19">
        <v>100</v>
      </c>
      <c r="C19">
        <v>308</v>
      </c>
      <c r="D19" s="2" t="s">
        <v>62</v>
      </c>
      <c r="E19" s="1">
        <v>44475.327817407408</v>
      </c>
      <c r="F19" s="2" t="s">
        <v>63</v>
      </c>
      <c r="G19" s="2" t="s">
        <v>63</v>
      </c>
      <c r="H19" s="2" t="s">
        <v>63</v>
      </c>
      <c r="I19" s="2" t="s">
        <v>63</v>
      </c>
      <c r="J19" s="2" t="s">
        <v>64</v>
      </c>
      <c r="K19" s="2" t="s">
        <v>65</v>
      </c>
      <c r="L19" s="2" t="s">
        <v>71</v>
      </c>
      <c r="M19" s="2" t="s">
        <v>71</v>
      </c>
      <c r="N19" s="2" t="s">
        <v>71</v>
      </c>
      <c r="O19" s="2" t="s">
        <v>67</v>
      </c>
      <c r="P19" s="2" t="s">
        <v>71</v>
      </c>
      <c r="Q19" s="2" t="s">
        <v>74</v>
      </c>
      <c r="R19" s="2" t="s">
        <v>72</v>
      </c>
      <c r="S19">
        <v>5</v>
      </c>
      <c r="T19">
        <v>2</v>
      </c>
      <c r="U19">
        <v>4</v>
      </c>
      <c r="V19">
        <v>2</v>
      </c>
      <c r="W19">
        <v>4</v>
      </c>
      <c r="X19">
        <v>3</v>
      </c>
      <c r="Y19" s="2" t="s">
        <v>72</v>
      </c>
      <c r="Z19">
        <v>5</v>
      </c>
      <c r="AA19">
        <v>2</v>
      </c>
      <c r="AB19">
        <v>4</v>
      </c>
      <c r="AC19">
        <v>3</v>
      </c>
      <c r="AD19">
        <v>4</v>
      </c>
      <c r="AE19">
        <v>2</v>
      </c>
      <c r="AF19" s="10" t="s">
        <v>92</v>
      </c>
      <c r="AG19" s="4"/>
      <c r="AH19" s="8">
        <v>17</v>
      </c>
      <c r="AI19">
        <v>1</v>
      </c>
      <c r="AJ19">
        <v>18</v>
      </c>
      <c r="AK19" s="8" t="s">
        <v>317</v>
      </c>
      <c r="AL19" t="s">
        <v>320</v>
      </c>
      <c r="AM19" t="str">
        <f t="shared" si="13"/>
        <v>Lie</v>
      </c>
      <c r="AN19" s="4"/>
      <c r="AO19">
        <f t="shared" si="0"/>
        <v>2</v>
      </c>
      <c r="AP19">
        <f t="shared" si="1"/>
        <v>2</v>
      </c>
      <c r="AQ19">
        <f t="shared" si="2"/>
        <v>2</v>
      </c>
      <c r="AR19">
        <f t="shared" si="3"/>
        <v>6</v>
      </c>
      <c r="AS19">
        <f t="shared" si="14"/>
        <v>2</v>
      </c>
      <c r="AT19">
        <f t="shared" si="4"/>
        <v>2</v>
      </c>
      <c r="AU19">
        <f t="shared" si="5"/>
        <v>3</v>
      </c>
      <c r="AV19" s="19">
        <f t="shared" si="15"/>
        <v>2.1666666666666665</v>
      </c>
      <c r="AW19" s="4"/>
      <c r="AY19">
        <v>0</v>
      </c>
      <c r="AZ19">
        <v>3</v>
      </c>
      <c r="BA19">
        <v>2</v>
      </c>
      <c r="BB19">
        <v>1</v>
      </c>
      <c r="BC19">
        <v>0</v>
      </c>
      <c r="BD19">
        <v>1</v>
      </c>
      <c r="BE19">
        <f t="shared" si="6"/>
        <v>15</v>
      </c>
      <c r="BF19">
        <f t="shared" si="7"/>
        <v>0</v>
      </c>
      <c r="BG19">
        <f t="shared" si="8"/>
        <v>15</v>
      </c>
      <c r="BI19">
        <v>3</v>
      </c>
      <c r="BJ19">
        <v>6</v>
      </c>
      <c r="BK19">
        <v>1</v>
      </c>
      <c r="BL19">
        <v>1</v>
      </c>
      <c r="BM19">
        <v>5</v>
      </c>
      <c r="BN19">
        <v>4</v>
      </c>
      <c r="BO19">
        <f t="shared" si="9"/>
        <v>14</v>
      </c>
      <c r="BP19">
        <f t="shared" si="10"/>
        <v>1</v>
      </c>
      <c r="BQ19">
        <f t="shared" si="11"/>
        <v>15</v>
      </c>
      <c r="BR19">
        <f t="shared" si="12"/>
        <v>30</v>
      </c>
    </row>
    <row r="20" spans="1:70" ht="30" x14ac:dyDescent="0.25">
      <c r="A20" s="2" t="s">
        <v>33</v>
      </c>
      <c r="B20">
        <v>100</v>
      </c>
      <c r="C20">
        <v>248</v>
      </c>
      <c r="D20" s="2" t="s">
        <v>62</v>
      </c>
      <c r="E20" s="1">
        <v>44475.328625694441</v>
      </c>
      <c r="F20" s="2" t="s">
        <v>63</v>
      </c>
      <c r="G20" s="2" t="s">
        <v>63</v>
      </c>
      <c r="H20" s="2" t="s">
        <v>63</v>
      </c>
      <c r="I20" s="2" t="s">
        <v>63</v>
      </c>
      <c r="J20" s="2" t="s">
        <v>64</v>
      </c>
      <c r="K20" s="2" t="s">
        <v>65</v>
      </c>
      <c r="L20" s="2" t="s">
        <v>71</v>
      </c>
      <c r="M20" s="2" t="s">
        <v>74</v>
      </c>
      <c r="N20" s="2" t="s">
        <v>71</v>
      </c>
      <c r="O20" s="2" t="s">
        <v>74</v>
      </c>
      <c r="P20" s="2" t="s">
        <v>74</v>
      </c>
      <c r="Q20" s="2" t="s">
        <v>74</v>
      </c>
      <c r="R20" s="2" t="s">
        <v>69</v>
      </c>
      <c r="S20">
        <v>4</v>
      </c>
      <c r="T20">
        <v>4</v>
      </c>
      <c r="U20">
        <v>2</v>
      </c>
      <c r="V20">
        <v>5</v>
      </c>
      <c r="W20">
        <v>4</v>
      </c>
      <c r="X20">
        <v>1</v>
      </c>
      <c r="Y20" s="2" t="s">
        <v>69</v>
      </c>
      <c r="Z20">
        <v>3</v>
      </c>
      <c r="AA20">
        <v>4</v>
      </c>
      <c r="AB20">
        <v>3</v>
      </c>
      <c r="AC20">
        <v>6</v>
      </c>
      <c r="AD20">
        <v>2</v>
      </c>
      <c r="AE20">
        <v>2</v>
      </c>
      <c r="AF20" s="10" t="s">
        <v>93</v>
      </c>
      <c r="AG20" s="4"/>
      <c r="AH20" s="8">
        <v>18</v>
      </c>
      <c r="AI20">
        <v>0</v>
      </c>
      <c r="AJ20">
        <v>0</v>
      </c>
      <c r="AK20" s="8" t="s">
        <v>315</v>
      </c>
      <c r="AL20" t="s">
        <v>316</v>
      </c>
      <c r="AM20" t="str">
        <f t="shared" si="13"/>
        <v>Honest</v>
      </c>
      <c r="AN20" s="4"/>
      <c r="AO20">
        <f t="shared" si="0"/>
        <v>2</v>
      </c>
      <c r="AP20">
        <f t="shared" si="1"/>
        <v>3</v>
      </c>
      <c r="AQ20">
        <f t="shared" si="2"/>
        <v>2</v>
      </c>
      <c r="AR20">
        <f t="shared" si="3"/>
        <v>3</v>
      </c>
      <c r="AS20">
        <f t="shared" si="14"/>
        <v>5</v>
      </c>
      <c r="AT20">
        <f t="shared" si="4"/>
        <v>3</v>
      </c>
      <c r="AU20">
        <f t="shared" si="5"/>
        <v>3</v>
      </c>
      <c r="AV20" s="19">
        <f t="shared" si="15"/>
        <v>3</v>
      </c>
      <c r="AW20" s="4"/>
      <c r="AY20">
        <v>2</v>
      </c>
      <c r="AZ20">
        <v>4</v>
      </c>
      <c r="BA20">
        <v>3</v>
      </c>
      <c r="BB20">
        <v>5</v>
      </c>
      <c r="BC20">
        <v>3</v>
      </c>
      <c r="BD20">
        <v>3</v>
      </c>
      <c r="BE20">
        <f t="shared" si="6"/>
        <v>6</v>
      </c>
      <c r="BF20">
        <f t="shared" si="7"/>
        <v>1</v>
      </c>
      <c r="BG20">
        <f t="shared" si="8"/>
        <v>7</v>
      </c>
      <c r="BI20">
        <v>2</v>
      </c>
      <c r="BJ20">
        <v>4</v>
      </c>
      <c r="BK20">
        <v>3</v>
      </c>
      <c r="BL20">
        <v>5</v>
      </c>
      <c r="BM20">
        <v>3</v>
      </c>
      <c r="BN20">
        <v>3</v>
      </c>
      <c r="BO20">
        <f t="shared" si="9"/>
        <v>4</v>
      </c>
      <c r="BP20">
        <f t="shared" si="10"/>
        <v>0</v>
      </c>
      <c r="BQ20">
        <f t="shared" si="11"/>
        <v>4</v>
      </c>
      <c r="BR20">
        <f t="shared" si="12"/>
        <v>11</v>
      </c>
    </row>
    <row r="21" spans="1:70" ht="30" x14ac:dyDescent="0.25">
      <c r="A21" s="2" t="s">
        <v>33</v>
      </c>
      <c r="B21">
        <v>100</v>
      </c>
      <c r="C21">
        <v>443</v>
      </c>
      <c r="D21" s="2" t="s">
        <v>62</v>
      </c>
      <c r="E21" s="1">
        <v>44475.334072962964</v>
      </c>
      <c r="F21" s="2" t="s">
        <v>63</v>
      </c>
      <c r="G21" s="2" t="s">
        <v>63</v>
      </c>
      <c r="H21" s="2" t="s">
        <v>63</v>
      </c>
      <c r="I21" s="2" t="s">
        <v>63</v>
      </c>
      <c r="J21" s="2" t="s">
        <v>64</v>
      </c>
      <c r="K21" s="2" t="s">
        <v>65</v>
      </c>
      <c r="L21" s="2" t="s">
        <v>71</v>
      </c>
      <c r="M21" s="2" t="s">
        <v>71</v>
      </c>
      <c r="N21" s="2" t="s">
        <v>71</v>
      </c>
      <c r="O21" s="2" t="s">
        <v>67</v>
      </c>
      <c r="P21" s="2" t="s">
        <v>71</v>
      </c>
      <c r="Q21" s="2" t="s">
        <v>71</v>
      </c>
      <c r="R21" s="2" t="s">
        <v>72</v>
      </c>
      <c r="S21">
        <v>4</v>
      </c>
      <c r="T21">
        <v>3</v>
      </c>
      <c r="U21">
        <v>3</v>
      </c>
      <c r="V21">
        <v>3</v>
      </c>
      <c r="W21">
        <v>3</v>
      </c>
      <c r="X21">
        <v>4</v>
      </c>
      <c r="Y21" s="2" t="s">
        <v>72</v>
      </c>
      <c r="Z21">
        <v>4</v>
      </c>
      <c r="AA21">
        <v>3</v>
      </c>
      <c r="AB21">
        <v>3</v>
      </c>
      <c r="AC21">
        <v>3</v>
      </c>
      <c r="AD21">
        <v>3</v>
      </c>
      <c r="AE21">
        <v>4</v>
      </c>
      <c r="AF21" s="10" t="s">
        <v>94</v>
      </c>
      <c r="AG21" s="4"/>
      <c r="AH21" s="8">
        <v>19</v>
      </c>
      <c r="AI21">
        <v>1</v>
      </c>
      <c r="AJ21">
        <v>0</v>
      </c>
      <c r="AK21" s="8" t="s">
        <v>315</v>
      </c>
      <c r="AL21" t="s">
        <v>316</v>
      </c>
      <c r="AM21" t="str">
        <f t="shared" si="13"/>
        <v>Honest</v>
      </c>
      <c r="AN21" s="4"/>
      <c r="AO21">
        <f t="shared" si="0"/>
        <v>2</v>
      </c>
      <c r="AP21">
        <f t="shared" si="1"/>
        <v>2</v>
      </c>
      <c r="AQ21">
        <f t="shared" si="2"/>
        <v>2</v>
      </c>
      <c r="AR21">
        <f t="shared" si="3"/>
        <v>6</v>
      </c>
      <c r="AS21">
        <f t="shared" si="14"/>
        <v>2</v>
      </c>
      <c r="AT21">
        <f t="shared" si="4"/>
        <v>2</v>
      </c>
      <c r="AU21">
        <f t="shared" si="5"/>
        <v>2</v>
      </c>
      <c r="AV21" s="19">
        <f t="shared" si="15"/>
        <v>2</v>
      </c>
      <c r="AW21" s="4"/>
      <c r="AY21">
        <v>5</v>
      </c>
      <c r="AZ21">
        <v>0</v>
      </c>
      <c r="BA21">
        <v>5</v>
      </c>
      <c r="BB21">
        <v>4</v>
      </c>
      <c r="BC21">
        <v>1</v>
      </c>
      <c r="BD21">
        <v>5</v>
      </c>
      <c r="BE21">
        <f t="shared" si="6"/>
        <v>10</v>
      </c>
      <c r="BF21">
        <f t="shared" si="7"/>
        <v>0</v>
      </c>
      <c r="BG21">
        <f t="shared" si="8"/>
        <v>10</v>
      </c>
      <c r="BI21">
        <v>5</v>
      </c>
      <c r="BJ21">
        <v>0</v>
      </c>
      <c r="BK21">
        <v>5</v>
      </c>
      <c r="BL21">
        <v>4</v>
      </c>
      <c r="BM21">
        <v>1</v>
      </c>
      <c r="BN21">
        <v>5</v>
      </c>
      <c r="BO21">
        <f t="shared" si="9"/>
        <v>10</v>
      </c>
      <c r="BP21">
        <f t="shared" si="10"/>
        <v>1</v>
      </c>
      <c r="BQ21">
        <f t="shared" si="11"/>
        <v>11</v>
      </c>
      <c r="BR21">
        <f t="shared" si="12"/>
        <v>21</v>
      </c>
    </row>
    <row r="22" spans="1:70" ht="60" x14ac:dyDescent="0.25">
      <c r="A22" s="2" t="s">
        <v>33</v>
      </c>
      <c r="B22">
        <v>100</v>
      </c>
      <c r="C22">
        <v>223</v>
      </c>
      <c r="D22" s="2" t="s">
        <v>62</v>
      </c>
      <c r="E22" s="1">
        <v>44475.335125879632</v>
      </c>
      <c r="F22" s="2" t="s">
        <v>63</v>
      </c>
      <c r="G22" s="2" t="s">
        <v>63</v>
      </c>
      <c r="H22" s="2" t="s">
        <v>63</v>
      </c>
      <c r="I22" s="2" t="s">
        <v>63</v>
      </c>
      <c r="J22" s="2" t="s">
        <v>64</v>
      </c>
      <c r="K22" s="2" t="s">
        <v>65</v>
      </c>
      <c r="L22" s="2" t="s">
        <v>66</v>
      </c>
      <c r="M22" s="2" t="s">
        <v>71</v>
      </c>
      <c r="N22" s="2" t="s">
        <v>66</v>
      </c>
      <c r="O22" s="2" t="s">
        <v>78</v>
      </c>
      <c r="P22" s="2" t="s">
        <v>75</v>
      </c>
      <c r="Q22" s="2" t="s">
        <v>74</v>
      </c>
      <c r="R22" s="2" t="s">
        <v>72</v>
      </c>
      <c r="S22">
        <v>2</v>
      </c>
      <c r="T22">
        <v>5</v>
      </c>
      <c r="U22">
        <v>3</v>
      </c>
      <c r="V22">
        <v>2</v>
      </c>
      <c r="W22">
        <v>4</v>
      </c>
      <c r="X22">
        <v>4</v>
      </c>
      <c r="Y22" s="2" t="s">
        <v>72</v>
      </c>
      <c r="Z22">
        <v>2</v>
      </c>
      <c r="AA22">
        <v>4</v>
      </c>
      <c r="AB22">
        <v>3</v>
      </c>
      <c r="AC22">
        <v>3</v>
      </c>
      <c r="AD22">
        <v>4</v>
      </c>
      <c r="AE22">
        <v>4</v>
      </c>
      <c r="AF22" s="10" t="s">
        <v>95</v>
      </c>
      <c r="AG22" s="4"/>
      <c r="AH22" s="8">
        <v>20</v>
      </c>
      <c r="AI22">
        <v>0</v>
      </c>
      <c r="AJ22">
        <v>0</v>
      </c>
      <c r="AK22" s="8" t="s">
        <v>317</v>
      </c>
      <c r="AL22" t="s">
        <v>318</v>
      </c>
      <c r="AM22" t="str">
        <f t="shared" si="13"/>
        <v>Honest</v>
      </c>
      <c r="AN22" s="4"/>
      <c r="AO22">
        <f t="shared" si="0"/>
        <v>1</v>
      </c>
      <c r="AP22">
        <f t="shared" si="1"/>
        <v>2</v>
      </c>
      <c r="AQ22">
        <f t="shared" si="2"/>
        <v>1</v>
      </c>
      <c r="AR22">
        <f t="shared" si="3"/>
        <v>7</v>
      </c>
      <c r="AS22">
        <f t="shared" si="14"/>
        <v>1</v>
      </c>
      <c r="AT22">
        <f t="shared" si="4"/>
        <v>4</v>
      </c>
      <c r="AU22">
        <f t="shared" si="5"/>
        <v>3</v>
      </c>
      <c r="AV22" s="19">
        <f t="shared" si="15"/>
        <v>2</v>
      </c>
      <c r="AW22" s="4"/>
      <c r="AY22">
        <v>2</v>
      </c>
      <c r="AZ22">
        <v>6</v>
      </c>
      <c r="BA22">
        <v>4</v>
      </c>
      <c r="BB22">
        <v>3</v>
      </c>
      <c r="BC22">
        <v>1</v>
      </c>
      <c r="BD22">
        <v>4</v>
      </c>
      <c r="BE22">
        <f t="shared" si="6"/>
        <v>6</v>
      </c>
      <c r="BF22">
        <f t="shared" si="7"/>
        <v>0</v>
      </c>
      <c r="BG22">
        <f t="shared" si="8"/>
        <v>6</v>
      </c>
      <c r="BI22">
        <v>2</v>
      </c>
      <c r="BJ22">
        <v>6</v>
      </c>
      <c r="BK22">
        <v>4</v>
      </c>
      <c r="BL22">
        <v>3</v>
      </c>
      <c r="BM22">
        <v>1</v>
      </c>
      <c r="BN22">
        <v>4</v>
      </c>
      <c r="BO22">
        <f t="shared" si="9"/>
        <v>6</v>
      </c>
      <c r="BP22">
        <f t="shared" si="10"/>
        <v>1</v>
      </c>
      <c r="BQ22">
        <f t="shared" si="11"/>
        <v>7</v>
      </c>
      <c r="BR22">
        <f t="shared" si="12"/>
        <v>13</v>
      </c>
    </row>
    <row r="23" spans="1:70" ht="45" x14ac:dyDescent="0.25">
      <c r="A23" s="2" t="s">
        <v>33</v>
      </c>
      <c r="B23">
        <v>100</v>
      </c>
      <c r="C23">
        <v>165</v>
      </c>
      <c r="D23" s="2" t="s">
        <v>62</v>
      </c>
      <c r="E23" s="1">
        <v>44475.338442511573</v>
      </c>
      <c r="F23" s="2" t="s">
        <v>63</v>
      </c>
      <c r="G23" s="2" t="s">
        <v>63</v>
      </c>
      <c r="H23" s="2" t="s">
        <v>63</v>
      </c>
      <c r="I23" s="2" t="s">
        <v>63</v>
      </c>
      <c r="J23" s="2" t="s">
        <v>64</v>
      </c>
      <c r="K23" s="2" t="s">
        <v>65</v>
      </c>
      <c r="L23" s="2" t="s">
        <v>71</v>
      </c>
      <c r="M23" s="2" t="s">
        <v>74</v>
      </c>
      <c r="N23" s="2" t="s">
        <v>66</v>
      </c>
      <c r="O23" s="2" t="s">
        <v>81</v>
      </c>
      <c r="P23" s="2" t="s">
        <v>74</v>
      </c>
      <c r="Q23" s="2" t="s">
        <v>71</v>
      </c>
      <c r="R23" s="2" t="s">
        <v>72</v>
      </c>
      <c r="S23">
        <v>1</v>
      </c>
      <c r="T23">
        <v>2</v>
      </c>
      <c r="U23">
        <v>4</v>
      </c>
      <c r="V23">
        <v>6</v>
      </c>
      <c r="W23">
        <v>5</v>
      </c>
      <c r="X23">
        <v>2</v>
      </c>
      <c r="Y23" s="2" t="s">
        <v>68</v>
      </c>
      <c r="Z23">
        <v>2</v>
      </c>
      <c r="AA23">
        <v>4</v>
      </c>
      <c r="AB23">
        <v>3</v>
      </c>
      <c r="AC23">
        <v>5</v>
      </c>
      <c r="AD23">
        <v>3</v>
      </c>
      <c r="AE23">
        <v>3</v>
      </c>
      <c r="AF23" s="10" t="s">
        <v>96</v>
      </c>
      <c r="AG23" s="4"/>
      <c r="AH23" s="8">
        <v>21</v>
      </c>
      <c r="AI23">
        <v>1</v>
      </c>
      <c r="AJ23">
        <v>0</v>
      </c>
      <c r="AK23" s="8" t="s">
        <v>315</v>
      </c>
      <c r="AL23" t="s">
        <v>316</v>
      </c>
      <c r="AM23" t="str">
        <f t="shared" si="13"/>
        <v>Honest</v>
      </c>
      <c r="AN23" s="4"/>
      <c r="AO23">
        <f t="shared" si="0"/>
        <v>2</v>
      </c>
      <c r="AP23">
        <f t="shared" si="1"/>
        <v>3</v>
      </c>
      <c r="AQ23">
        <f t="shared" si="2"/>
        <v>1</v>
      </c>
      <c r="AR23">
        <f t="shared" si="3"/>
        <v>5</v>
      </c>
      <c r="AS23">
        <f t="shared" si="14"/>
        <v>3</v>
      </c>
      <c r="AT23">
        <f t="shared" si="4"/>
        <v>3</v>
      </c>
      <c r="AU23">
        <f t="shared" si="5"/>
        <v>2</v>
      </c>
      <c r="AV23" s="19">
        <f t="shared" si="15"/>
        <v>2.3333333333333335</v>
      </c>
      <c r="AW23" s="4"/>
      <c r="AY23">
        <v>2</v>
      </c>
      <c r="AZ23">
        <v>4</v>
      </c>
      <c r="BA23">
        <v>0</v>
      </c>
      <c r="BB23">
        <v>5</v>
      </c>
      <c r="BC23">
        <v>7</v>
      </c>
      <c r="BD23">
        <v>2</v>
      </c>
      <c r="BE23">
        <f t="shared" si="6"/>
        <v>10</v>
      </c>
      <c r="BF23">
        <f t="shared" si="7"/>
        <v>0</v>
      </c>
      <c r="BG23">
        <f t="shared" si="8"/>
        <v>10</v>
      </c>
      <c r="BI23">
        <v>3</v>
      </c>
      <c r="BJ23">
        <v>4</v>
      </c>
      <c r="BK23">
        <v>0</v>
      </c>
      <c r="BL23">
        <v>5</v>
      </c>
      <c r="BM23">
        <v>7</v>
      </c>
      <c r="BN23">
        <v>1</v>
      </c>
      <c r="BO23">
        <f t="shared" si="9"/>
        <v>10</v>
      </c>
      <c r="BP23">
        <f t="shared" si="10"/>
        <v>1</v>
      </c>
      <c r="BQ23">
        <f t="shared" si="11"/>
        <v>11</v>
      </c>
      <c r="BR23">
        <f t="shared" si="12"/>
        <v>21</v>
      </c>
    </row>
    <row r="24" spans="1:70" ht="60" x14ac:dyDescent="0.25">
      <c r="A24" s="2" t="s">
        <v>33</v>
      </c>
      <c r="B24">
        <v>100</v>
      </c>
      <c r="C24">
        <v>185</v>
      </c>
      <c r="D24" s="2" t="s">
        <v>62</v>
      </c>
      <c r="E24" s="1">
        <v>44475.350595243057</v>
      </c>
      <c r="F24" s="2" t="s">
        <v>63</v>
      </c>
      <c r="G24" s="2" t="s">
        <v>63</v>
      </c>
      <c r="H24" s="2" t="s">
        <v>63</v>
      </c>
      <c r="I24" s="2" t="s">
        <v>63</v>
      </c>
      <c r="J24" s="2" t="s">
        <v>64</v>
      </c>
      <c r="K24" s="2" t="s">
        <v>65</v>
      </c>
      <c r="L24" s="2" t="s">
        <v>66</v>
      </c>
      <c r="M24" s="2" t="s">
        <v>67</v>
      </c>
      <c r="N24" s="2" t="s">
        <v>71</v>
      </c>
      <c r="O24" s="2" t="s">
        <v>67</v>
      </c>
      <c r="P24" s="2" t="s">
        <v>74</v>
      </c>
      <c r="Q24" s="2" t="s">
        <v>75</v>
      </c>
      <c r="R24" s="2" t="s">
        <v>69</v>
      </c>
      <c r="S24">
        <v>3</v>
      </c>
      <c r="T24">
        <v>4</v>
      </c>
      <c r="U24">
        <v>2</v>
      </c>
      <c r="V24">
        <v>3</v>
      </c>
      <c r="W24">
        <v>4</v>
      </c>
      <c r="X24">
        <v>4</v>
      </c>
      <c r="Y24" s="2" t="s">
        <v>69</v>
      </c>
      <c r="Z24">
        <v>3</v>
      </c>
      <c r="AA24">
        <v>3</v>
      </c>
      <c r="AB24">
        <v>2</v>
      </c>
      <c r="AC24">
        <v>4</v>
      </c>
      <c r="AD24">
        <v>4</v>
      </c>
      <c r="AE24">
        <v>4</v>
      </c>
      <c r="AF24" s="10" t="s">
        <v>97</v>
      </c>
      <c r="AG24" s="4"/>
      <c r="AH24" s="8">
        <v>22</v>
      </c>
      <c r="AI24">
        <v>0</v>
      </c>
      <c r="AJ24">
        <v>0</v>
      </c>
      <c r="AK24" s="8" t="s">
        <v>317</v>
      </c>
      <c r="AL24" t="s">
        <v>318</v>
      </c>
      <c r="AM24" t="str">
        <f t="shared" si="13"/>
        <v>Honest</v>
      </c>
      <c r="AN24" s="4"/>
      <c r="AO24">
        <f t="shared" si="0"/>
        <v>1</v>
      </c>
      <c r="AP24">
        <f t="shared" si="1"/>
        <v>6</v>
      </c>
      <c r="AQ24">
        <f t="shared" si="2"/>
        <v>2</v>
      </c>
      <c r="AR24">
        <f t="shared" si="3"/>
        <v>6</v>
      </c>
      <c r="AS24">
        <f t="shared" si="14"/>
        <v>2</v>
      </c>
      <c r="AT24">
        <f t="shared" si="4"/>
        <v>3</v>
      </c>
      <c r="AU24">
        <f t="shared" si="5"/>
        <v>4</v>
      </c>
      <c r="AV24" s="19">
        <f t="shared" si="15"/>
        <v>3</v>
      </c>
      <c r="AW24" s="4"/>
      <c r="AY24">
        <v>4</v>
      </c>
      <c r="AZ24">
        <v>3</v>
      </c>
      <c r="BA24">
        <v>1</v>
      </c>
      <c r="BB24">
        <v>2</v>
      </c>
      <c r="BC24">
        <v>7</v>
      </c>
      <c r="BD24">
        <v>3</v>
      </c>
      <c r="BE24">
        <f t="shared" si="6"/>
        <v>8</v>
      </c>
      <c r="BF24">
        <f t="shared" si="7"/>
        <v>1</v>
      </c>
      <c r="BG24">
        <f t="shared" si="8"/>
        <v>9</v>
      </c>
      <c r="BI24">
        <v>4</v>
      </c>
      <c r="BJ24">
        <v>3</v>
      </c>
      <c r="BK24">
        <v>1</v>
      </c>
      <c r="BL24">
        <v>2</v>
      </c>
      <c r="BM24">
        <v>7</v>
      </c>
      <c r="BN24">
        <v>3</v>
      </c>
      <c r="BO24">
        <f t="shared" si="9"/>
        <v>8</v>
      </c>
      <c r="BP24">
        <f t="shared" si="10"/>
        <v>0</v>
      </c>
      <c r="BQ24">
        <f t="shared" si="11"/>
        <v>8</v>
      </c>
      <c r="BR24">
        <f t="shared" si="12"/>
        <v>17</v>
      </c>
    </row>
    <row r="25" spans="1:70" ht="60" x14ac:dyDescent="0.25">
      <c r="A25" s="2" t="s">
        <v>33</v>
      </c>
      <c r="B25">
        <v>100</v>
      </c>
      <c r="C25">
        <v>333</v>
      </c>
      <c r="D25" s="2" t="s">
        <v>62</v>
      </c>
      <c r="E25" s="1">
        <v>44475.354264525464</v>
      </c>
      <c r="F25" s="2" t="s">
        <v>63</v>
      </c>
      <c r="G25" s="2" t="s">
        <v>63</v>
      </c>
      <c r="H25" s="2" t="s">
        <v>63</v>
      </c>
      <c r="I25" s="2" t="s">
        <v>63</v>
      </c>
      <c r="J25" s="2" t="s">
        <v>64</v>
      </c>
      <c r="K25" s="2" t="s">
        <v>65</v>
      </c>
      <c r="L25" s="2" t="s">
        <v>71</v>
      </c>
      <c r="M25" s="2" t="s">
        <v>75</v>
      </c>
      <c r="N25" s="2" t="s">
        <v>74</v>
      </c>
      <c r="O25" s="2" t="s">
        <v>75</v>
      </c>
      <c r="P25" s="2" t="s">
        <v>75</v>
      </c>
      <c r="Q25" s="2" t="s">
        <v>74</v>
      </c>
      <c r="R25" s="2" t="s">
        <v>72</v>
      </c>
      <c r="S25">
        <v>2</v>
      </c>
      <c r="T25">
        <v>2</v>
      </c>
      <c r="U25">
        <v>2</v>
      </c>
      <c r="V25">
        <v>3</v>
      </c>
      <c r="W25">
        <v>5</v>
      </c>
      <c r="X25">
        <v>6</v>
      </c>
      <c r="Y25" s="2" t="s">
        <v>72</v>
      </c>
      <c r="Z25">
        <v>2</v>
      </c>
      <c r="AA25">
        <v>2</v>
      </c>
      <c r="AB25">
        <v>2</v>
      </c>
      <c r="AC25">
        <v>3</v>
      </c>
      <c r="AD25">
        <v>5</v>
      </c>
      <c r="AE25">
        <v>6</v>
      </c>
      <c r="AF25" s="10" t="s">
        <v>98</v>
      </c>
      <c r="AG25" s="4"/>
      <c r="AH25" s="8">
        <v>23</v>
      </c>
      <c r="AI25">
        <v>0</v>
      </c>
      <c r="AJ25">
        <v>0</v>
      </c>
      <c r="AK25" s="8" t="s">
        <v>317</v>
      </c>
      <c r="AL25" t="s">
        <v>318</v>
      </c>
      <c r="AM25" t="str">
        <f t="shared" si="13"/>
        <v>Honest</v>
      </c>
      <c r="AN25" s="4"/>
      <c r="AO25">
        <f t="shared" si="0"/>
        <v>2</v>
      </c>
      <c r="AP25">
        <f t="shared" si="1"/>
        <v>4</v>
      </c>
      <c r="AQ25">
        <f t="shared" si="2"/>
        <v>3</v>
      </c>
      <c r="AR25">
        <f t="shared" si="3"/>
        <v>4</v>
      </c>
      <c r="AS25">
        <f t="shared" si="14"/>
        <v>4</v>
      </c>
      <c r="AT25">
        <f t="shared" si="4"/>
        <v>4</v>
      </c>
      <c r="AU25">
        <f t="shared" si="5"/>
        <v>3</v>
      </c>
      <c r="AV25" s="19">
        <f t="shared" si="15"/>
        <v>3.3333333333333335</v>
      </c>
      <c r="AW25" s="4"/>
      <c r="AY25">
        <v>2</v>
      </c>
      <c r="AZ25">
        <v>2</v>
      </c>
      <c r="BA25">
        <v>2</v>
      </c>
      <c r="BB25">
        <v>3</v>
      </c>
      <c r="BC25">
        <v>5</v>
      </c>
      <c r="BD25">
        <v>6</v>
      </c>
      <c r="BE25">
        <f t="shared" si="6"/>
        <v>0</v>
      </c>
      <c r="BF25">
        <f t="shared" si="7"/>
        <v>0</v>
      </c>
      <c r="BG25">
        <f t="shared" si="8"/>
        <v>0</v>
      </c>
      <c r="BI25">
        <v>2</v>
      </c>
      <c r="BJ25">
        <v>2</v>
      </c>
      <c r="BK25">
        <v>2</v>
      </c>
      <c r="BL25">
        <v>3</v>
      </c>
      <c r="BM25">
        <v>5</v>
      </c>
      <c r="BN25">
        <v>6</v>
      </c>
      <c r="BO25">
        <f t="shared" si="9"/>
        <v>0</v>
      </c>
      <c r="BP25">
        <f t="shared" si="10"/>
        <v>1</v>
      </c>
      <c r="BQ25">
        <f t="shared" si="11"/>
        <v>1</v>
      </c>
      <c r="BR25">
        <f t="shared" si="12"/>
        <v>1</v>
      </c>
    </row>
    <row r="26" spans="1:70" ht="30" x14ac:dyDescent="0.25">
      <c r="A26" s="2" t="s">
        <v>33</v>
      </c>
      <c r="B26">
        <v>100</v>
      </c>
      <c r="C26">
        <v>329</v>
      </c>
      <c r="D26" s="2" t="s">
        <v>62</v>
      </c>
      <c r="E26" s="1">
        <v>44475.364397361111</v>
      </c>
      <c r="F26" s="2" t="s">
        <v>63</v>
      </c>
      <c r="G26" s="2" t="s">
        <v>63</v>
      </c>
      <c r="H26" s="2" t="s">
        <v>63</v>
      </c>
      <c r="I26" s="2" t="s">
        <v>63</v>
      </c>
      <c r="J26" s="2" t="s">
        <v>64</v>
      </c>
      <c r="K26" s="2" t="s">
        <v>65</v>
      </c>
      <c r="L26" s="2" t="s">
        <v>66</v>
      </c>
      <c r="M26" s="2" t="s">
        <v>71</v>
      </c>
      <c r="N26" s="2" t="s">
        <v>66</v>
      </c>
      <c r="O26" s="2" t="s">
        <v>78</v>
      </c>
      <c r="P26" s="2" t="s">
        <v>71</v>
      </c>
      <c r="Q26" s="2" t="s">
        <v>66</v>
      </c>
      <c r="R26" s="2" t="s">
        <v>72</v>
      </c>
      <c r="S26">
        <v>3</v>
      </c>
      <c r="T26">
        <v>2</v>
      </c>
      <c r="U26">
        <v>2</v>
      </c>
      <c r="V26">
        <v>8</v>
      </c>
      <c r="W26">
        <v>3</v>
      </c>
      <c r="X26">
        <v>2</v>
      </c>
      <c r="Y26" s="2" t="s">
        <v>72</v>
      </c>
      <c r="Z26">
        <v>2</v>
      </c>
      <c r="AA26">
        <v>3</v>
      </c>
      <c r="AB26">
        <v>6</v>
      </c>
      <c r="AC26">
        <v>5</v>
      </c>
      <c r="AD26">
        <v>2</v>
      </c>
      <c r="AE26">
        <v>2</v>
      </c>
      <c r="AF26" s="10" t="s">
        <v>99</v>
      </c>
      <c r="AG26" s="4"/>
      <c r="AH26" s="8">
        <v>24</v>
      </c>
      <c r="AI26">
        <v>1</v>
      </c>
      <c r="AJ26">
        <v>3</v>
      </c>
      <c r="AK26" s="8" t="s">
        <v>315</v>
      </c>
      <c r="AL26" t="s">
        <v>319</v>
      </c>
      <c r="AM26" t="str">
        <f t="shared" si="13"/>
        <v>Lie</v>
      </c>
      <c r="AN26" s="4"/>
      <c r="AO26">
        <f t="shared" si="0"/>
        <v>1</v>
      </c>
      <c r="AP26">
        <f t="shared" si="1"/>
        <v>2</v>
      </c>
      <c r="AQ26">
        <f t="shared" si="2"/>
        <v>1</v>
      </c>
      <c r="AR26">
        <f t="shared" si="3"/>
        <v>7</v>
      </c>
      <c r="AS26">
        <f t="shared" si="14"/>
        <v>1</v>
      </c>
      <c r="AT26">
        <f t="shared" si="4"/>
        <v>2</v>
      </c>
      <c r="AU26">
        <f t="shared" si="5"/>
        <v>1</v>
      </c>
      <c r="AV26" s="19">
        <f t="shared" si="15"/>
        <v>1.3333333333333333</v>
      </c>
      <c r="AW26" s="4"/>
      <c r="AY26">
        <v>5</v>
      </c>
      <c r="AZ26">
        <v>1</v>
      </c>
      <c r="BA26">
        <v>1</v>
      </c>
      <c r="BB26">
        <v>5</v>
      </c>
      <c r="BC26">
        <v>4</v>
      </c>
      <c r="BD26">
        <v>4</v>
      </c>
      <c r="BE26">
        <f t="shared" si="6"/>
        <v>10</v>
      </c>
      <c r="BF26">
        <f t="shared" si="7"/>
        <v>0</v>
      </c>
      <c r="BG26">
        <f t="shared" si="8"/>
        <v>10</v>
      </c>
      <c r="BI26">
        <v>3</v>
      </c>
      <c r="BJ26">
        <v>3</v>
      </c>
      <c r="BK26">
        <v>1</v>
      </c>
      <c r="BL26">
        <v>3</v>
      </c>
      <c r="BM26">
        <v>5</v>
      </c>
      <c r="BN26">
        <v>5</v>
      </c>
      <c r="BO26">
        <f t="shared" si="9"/>
        <v>14</v>
      </c>
      <c r="BP26">
        <f t="shared" si="10"/>
        <v>1</v>
      </c>
      <c r="BQ26">
        <f t="shared" si="11"/>
        <v>15</v>
      </c>
      <c r="BR26">
        <f t="shared" si="12"/>
        <v>25</v>
      </c>
    </row>
    <row r="27" spans="1:70" ht="30" x14ac:dyDescent="0.25">
      <c r="A27" s="2" t="s">
        <v>33</v>
      </c>
      <c r="B27">
        <v>100</v>
      </c>
      <c r="C27">
        <v>234</v>
      </c>
      <c r="D27" s="2" t="s">
        <v>62</v>
      </c>
      <c r="E27" s="1">
        <v>44475.37608642361</v>
      </c>
      <c r="F27" s="2" t="s">
        <v>63</v>
      </c>
      <c r="G27" s="2" t="s">
        <v>63</v>
      </c>
      <c r="H27" s="2" t="s">
        <v>63</v>
      </c>
      <c r="I27" s="2" t="s">
        <v>63</v>
      </c>
      <c r="J27" s="2" t="s">
        <v>64</v>
      </c>
      <c r="K27" s="2" t="s">
        <v>65</v>
      </c>
      <c r="L27" s="2" t="s">
        <v>66</v>
      </c>
      <c r="M27" s="2" t="s">
        <v>71</v>
      </c>
      <c r="N27" s="2" t="s">
        <v>66</v>
      </c>
      <c r="O27" s="2" t="s">
        <v>78</v>
      </c>
      <c r="P27" s="2" t="s">
        <v>71</v>
      </c>
      <c r="Q27" s="2" t="s">
        <v>66</v>
      </c>
      <c r="R27" s="2" t="s">
        <v>69</v>
      </c>
      <c r="S27">
        <v>4</v>
      </c>
      <c r="T27">
        <v>7</v>
      </c>
      <c r="U27">
        <v>2</v>
      </c>
      <c r="V27">
        <v>3</v>
      </c>
      <c r="W27">
        <v>2</v>
      </c>
      <c r="X27">
        <v>2</v>
      </c>
      <c r="Y27" s="2" t="s">
        <v>69</v>
      </c>
      <c r="Z27">
        <v>4</v>
      </c>
      <c r="AA27">
        <v>5</v>
      </c>
      <c r="AB27">
        <v>2</v>
      </c>
      <c r="AC27">
        <v>5</v>
      </c>
      <c r="AD27">
        <v>2</v>
      </c>
      <c r="AE27">
        <v>2</v>
      </c>
      <c r="AF27" s="10" t="s">
        <v>100</v>
      </c>
      <c r="AG27" s="4"/>
      <c r="AH27" s="8">
        <v>25</v>
      </c>
      <c r="AI27">
        <v>2</v>
      </c>
      <c r="AJ27">
        <v>4</v>
      </c>
      <c r="AK27" s="8" t="s">
        <v>317</v>
      </c>
      <c r="AL27" t="s">
        <v>320</v>
      </c>
      <c r="AM27" t="str">
        <f t="shared" si="13"/>
        <v>Lie</v>
      </c>
      <c r="AN27" s="4"/>
      <c r="AO27">
        <f t="shared" si="0"/>
        <v>1</v>
      </c>
      <c r="AP27">
        <f t="shared" si="1"/>
        <v>2</v>
      </c>
      <c r="AQ27">
        <f t="shared" si="2"/>
        <v>1</v>
      </c>
      <c r="AR27">
        <f t="shared" si="3"/>
        <v>7</v>
      </c>
      <c r="AS27">
        <f t="shared" si="14"/>
        <v>1</v>
      </c>
      <c r="AT27">
        <f t="shared" si="4"/>
        <v>2</v>
      </c>
      <c r="AU27">
        <f t="shared" si="5"/>
        <v>1</v>
      </c>
      <c r="AV27" s="19">
        <f t="shared" si="15"/>
        <v>1.3333333333333333</v>
      </c>
      <c r="AW27" s="4"/>
      <c r="AY27">
        <v>4</v>
      </c>
      <c r="AZ27">
        <v>3</v>
      </c>
      <c r="BA27">
        <v>3</v>
      </c>
      <c r="BB27">
        <v>4</v>
      </c>
      <c r="BC27">
        <v>2</v>
      </c>
      <c r="BD27">
        <v>4</v>
      </c>
      <c r="BE27">
        <f t="shared" si="6"/>
        <v>8</v>
      </c>
      <c r="BF27">
        <f t="shared" si="7"/>
        <v>1</v>
      </c>
      <c r="BG27">
        <f t="shared" si="8"/>
        <v>9</v>
      </c>
      <c r="BI27">
        <v>6</v>
      </c>
      <c r="BJ27">
        <v>2</v>
      </c>
      <c r="BK27">
        <v>2</v>
      </c>
      <c r="BL27">
        <v>3</v>
      </c>
      <c r="BM27">
        <v>4</v>
      </c>
      <c r="BN27">
        <v>3</v>
      </c>
      <c r="BO27">
        <f t="shared" si="9"/>
        <v>10</v>
      </c>
      <c r="BP27">
        <f t="shared" si="10"/>
        <v>0</v>
      </c>
      <c r="BQ27">
        <f t="shared" si="11"/>
        <v>10</v>
      </c>
      <c r="BR27">
        <f t="shared" si="12"/>
        <v>19</v>
      </c>
    </row>
    <row r="28" spans="1:70" ht="30" x14ac:dyDescent="0.25">
      <c r="A28" s="2" t="s">
        <v>33</v>
      </c>
      <c r="B28">
        <v>100</v>
      </c>
      <c r="C28">
        <v>208</v>
      </c>
      <c r="D28" s="2" t="s">
        <v>62</v>
      </c>
      <c r="E28" s="1">
        <v>44475.394652731484</v>
      </c>
      <c r="F28" s="2" t="s">
        <v>63</v>
      </c>
      <c r="G28" s="2" t="s">
        <v>63</v>
      </c>
      <c r="H28" s="2" t="s">
        <v>63</v>
      </c>
      <c r="I28" s="2" t="s">
        <v>63</v>
      </c>
      <c r="J28" s="2" t="s">
        <v>64</v>
      </c>
      <c r="K28" s="2" t="s">
        <v>65</v>
      </c>
      <c r="L28" s="2" t="s">
        <v>71</v>
      </c>
      <c r="M28" s="2" t="s">
        <v>71</v>
      </c>
      <c r="N28" s="2" t="s">
        <v>71</v>
      </c>
      <c r="O28" s="2" t="s">
        <v>67</v>
      </c>
      <c r="P28" s="2" t="s">
        <v>71</v>
      </c>
      <c r="Q28" s="2" t="s">
        <v>71</v>
      </c>
      <c r="R28" s="2" t="s">
        <v>72</v>
      </c>
      <c r="S28">
        <v>3</v>
      </c>
      <c r="T28">
        <v>5</v>
      </c>
      <c r="U28">
        <v>2</v>
      </c>
      <c r="V28">
        <v>5</v>
      </c>
      <c r="W28">
        <v>1</v>
      </c>
      <c r="X28">
        <v>4</v>
      </c>
      <c r="Y28" s="2" t="s">
        <v>68</v>
      </c>
      <c r="Z28">
        <v>3</v>
      </c>
      <c r="AA28">
        <v>4</v>
      </c>
      <c r="AB28">
        <v>3</v>
      </c>
      <c r="AC28">
        <v>4</v>
      </c>
      <c r="AD28">
        <v>2</v>
      </c>
      <c r="AE28">
        <v>4</v>
      </c>
      <c r="AF28" s="10" t="s">
        <v>101</v>
      </c>
      <c r="AG28" s="4"/>
      <c r="AH28" s="8">
        <v>26</v>
      </c>
      <c r="AI28">
        <v>0</v>
      </c>
      <c r="AJ28">
        <v>16</v>
      </c>
      <c r="AK28" s="8" t="s">
        <v>317</v>
      </c>
      <c r="AL28" t="s">
        <v>320</v>
      </c>
      <c r="AM28" t="str">
        <f t="shared" si="13"/>
        <v>Lie</v>
      </c>
      <c r="AN28" s="4"/>
      <c r="AO28">
        <f t="shared" si="0"/>
        <v>2</v>
      </c>
      <c r="AP28">
        <f t="shared" si="1"/>
        <v>2</v>
      </c>
      <c r="AQ28">
        <f t="shared" si="2"/>
        <v>2</v>
      </c>
      <c r="AR28">
        <f t="shared" si="3"/>
        <v>6</v>
      </c>
      <c r="AS28">
        <f t="shared" si="14"/>
        <v>2</v>
      </c>
      <c r="AT28">
        <f t="shared" si="4"/>
        <v>2</v>
      </c>
      <c r="AU28">
        <f t="shared" si="5"/>
        <v>2</v>
      </c>
      <c r="AV28" s="19">
        <f t="shared" si="15"/>
        <v>2</v>
      </c>
      <c r="AW28" s="4"/>
      <c r="AY28">
        <v>5</v>
      </c>
      <c r="AZ28">
        <v>3</v>
      </c>
      <c r="BA28">
        <v>3</v>
      </c>
      <c r="BB28">
        <v>3</v>
      </c>
      <c r="BC28">
        <v>2</v>
      </c>
      <c r="BD28">
        <v>4</v>
      </c>
      <c r="BE28">
        <f t="shared" si="6"/>
        <v>8</v>
      </c>
      <c r="BF28">
        <f t="shared" si="7"/>
        <v>0</v>
      </c>
      <c r="BG28">
        <f t="shared" si="8"/>
        <v>8</v>
      </c>
      <c r="BI28">
        <v>3</v>
      </c>
      <c r="BJ28">
        <v>6</v>
      </c>
      <c r="BK28">
        <v>2</v>
      </c>
      <c r="BL28">
        <v>1</v>
      </c>
      <c r="BM28">
        <v>5</v>
      </c>
      <c r="BN28">
        <v>3</v>
      </c>
      <c r="BO28">
        <f t="shared" si="9"/>
        <v>10</v>
      </c>
      <c r="BP28">
        <f t="shared" si="10"/>
        <v>1</v>
      </c>
      <c r="BQ28">
        <f t="shared" si="11"/>
        <v>11</v>
      </c>
      <c r="BR28">
        <f t="shared" si="12"/>
        <v>19</v>
      </c>
    </row>
    <row r="29" spans="1:70" ht="30" x14ac:dyDescent="0.25">
      <c r="A29" s="2" t="s">
        <v>33</v>
      </c>
      <c r="B29">
        <v>100</v>
      </c>
      <c r="C29">
        <v>260</v>
      </c>
      <c r="D29" s="2" t="s">
        <v>62</v>
      </c>
      <c r="E29" s="1">
        <v>44475.395872604167</v>
      </c>
      <c r="F29" s="2" t="s">
        <v>63</v>
      </c>
      <c r="G29" s="2" t="s">
        <v>63</v>
      </c>
      <c r="H29" s="2" t="s">
        <v>63</v>
      </c>
      <c r="I29" s="2" t="s">
        <v>63</v>
      </c>
      <c r="J29" s="2" t="s">
        <v>64</v>
      </c>
      <c r="K29" s="2" t="s">
        <v>65</v>
      </c>
      <c r="L29" s="2" t="s">
        <v>66</v>
      </c>
      <c r="M29" s="2" t="s">
        <v>66</v>
      </c>
      <c r="N29" s="2" t="s">
        <v>66</v>
      </c>
      <c r="O29" s="2" t="s">
        <v>71</v>
      </c>
      <c r="P29" s="2" t="s">
        <v>71</v>
      </c>
      <c r="Q29" s="2" t="s">
        <v>71</v>
      </c>
      <c r="R29" s="2" t="s">
        <v>69</v>
      </c>
      <c r="S29">
        <v>2</v>
      </c>
      <c r="T29">
        <v>4</v>
      </c>
      <c r="U29">
        <v>3</v>
      </c>
      <c r="V29">
        <v>5</v>
      </c>
      <c r="W29">
        <v>4</v>
      </c>
      <c r="X29">
        <v>2</v>
      </c>
      <c r="Y29" s="2" t="s">
        <v>69</v>
      </c>
      <c r="Z29">
        <v>3</v>
      </c>
      <c r="AA29">
        <v>4</v>
      </c>
      <c r="AB29">
        <v>3</v>
      </c>
      <c r="AC29">
        <v>4</v>
      </c>
      <c r="AD29">
        <v>4</v>
      </c>
      <c r="AE29">
        <v>2</v>
      </c>
      <c r="AF29" s="10" t="s">
        <v>102</v>
      </c>
      <c r="AG29" s="4"/>
      <c r="AH29" s="8">
        <v>27</v>
      </c>
      <c r="AI29">
        <v>0</v>
      </c>
      <c r="AJ29">
        <v>0</v>
      </c>
      <c r="AK29" s="8" t="s">
        <v>317</v>
      </c>
      <c r="AL29" t="s">
        <v>318</v>
      </c>
      <c r="AM29" t="str">
        <f t="shared" si="13"/>
        <v>Honest</v>
      </c>
      <c r="AN29" s="4"/>
      <c r="AO29">
        <f t="shared" si="0"/>
        <v>1</v>
      </c>
      <c r="AP29">
        <f t="shared" si="1"/>
        <v>1</v>
      </c>
      <c r="AQ29">
        <f t="shared" si="2"/>
        <v>1</v>
      </c>
      <c r="AR29">
        <f t="shared" si="3"/>
        <v>2</v>
      </c>
      <c r="AS29">
        <f t="shared" si="14"/>
        <v>6</v>
      </c>
      <c r="AT29">
        <f t="shared" si="4"/>
        <v>2</v>
      </c>
      <c r="AU29">
        <f t="shared" si="5"/>
        <v>2</v>
      </c>
      <c r="AV29" s="19">
        <f t="shared" si="15"/>
        <v>2.1666666666666665</v>
      </c>
      <c r="AW29" s="4"/>
      <c r="AY29">
        <v>5</v>
      </c>
      <c r="AZ29">
        <v>4</v>
      </c>
      <c r="BA29">
        <v>2</v>
      </c>
      <c r="BB29">
        <v>5</v>
      </c>
      <c r="BC29">
        <v>1</v>
      </c>
      <c r="BD29">
        <v>3</v>
      </c>
      <c r="BE29">
        <f t="shared" si="6"/>
        <v>8</v>
      </c>
      <c r="BF29">
        <f t="shared" si="7"/>
        <v>1</v>
      </c>
      <c r="BG29">
        <f t="shared" si="8"/>
        <v>9</v>
      </c>
      <c r="BI29">
        <v>5</v>
      </c>
      <c r="BJ29">
        <v>4</v>
      </c>
      <c r="BK29">
        <v>2</v>
      </c>
      <c r="BL29">
        <v>5</v>
      </c>
      <c r="BM29">
        <v>1</v>
      </c>
      <c r="BN29">
        <v>3</v>
      </c>
      <c r="BO29">
        <f t="shared" si="9"/>
        <v>8</v>
      </c>
      <c r="BP29">
        <f t="shared" si="10"/>
        <v>0</v>
      </c>
      <c r="BQ29">
        <f t="shared" si="11"/>
        <v>8</v>
      </c>
      <c r="BR29">
        <f t="shared" si="12"/>
        <v>17</v>
      </c>
    </row>
    <row r="30" spans="1:70" ht="30" x14ac:dyDescent="0.25">
      <c r="A30" s="2" t="s">
        <v>33</v>
      </c>
      <c r="B30">
        <v>100</v>
      </c>
      <c r="C30">
        <v>363</v>
      </c>
      <c r="D30" s="2" t="s">
        <v>62</v>
      </c>
      <c r="E30" s="1">
        <v>44475.40065019676</v>
      </c>
      <c r="F30" s="2" t="s">
        <v>63</v>
      </c>
      <c r="G30" s="2" t="s">
        <v>63</v>
      </c>
      <c r="H30" s="2" t="s">
        <v>63</v>
      </c>
      <c r="I30" s="2" t="s">
        <v>63</v>
      </c>
      <c r="J30" s="2" t="s">
        <v>64</v>
      </c>
      <c r="K30" s="2" t="s">
        <v>65</v>
      </c>
      <c r="L30" s="2" t="s">
        <v>66</v>
      </c>
      <c r="M30" s="2" t="s">
        <v>74</v>
      </c>
      <c r="N30" s="2" t="s">
        <v>66</v>
      </c>
      <c r="O30" s="2" t="s">
        <v>67</v>
      </c>
      <c r="P30" s="2" t="s">
        <v>71</v>
      </c>
      <c r="Q30" s="2" t="s">
        <v>71</v>
      </c>
      <c r="R30" s="2" t="s">
        <v>69</v>
      </c>
      <c r="S30">
        <v>3</v>
      </c>
      <c r="T30">
        <v>6</v>
      </c>
      <c r="U30">
        <v>2</v>
      </c>
      <c r="V30">
        <v>5</v>
      </c>
      <c r="W30">
        <v>2</v>
      </c>
      <c r="X30">
        <v>2</v>
      </c>
      <c r="Y30" s="2" t="s">
        <v>69</v>
      </c>
      <c r="Z30">
        <v>2</v>
      </c>
      <c r="AA30">
        <v>6</v>
      </c>
      <c r="AB30">
        <v>3</v>
      </c>
      <c r="AC30">
        <v>5</v>
      </c>
      <c r="AD30">
        <v>2</v>
      </c>
      <c r="AE30">
        <v>2</v>
      </c>
      <c r="AF30" s="10" t="s">
        <v>103</v>
      </c>
      <c r="AG30" s="4"/>
      <c r="AH30" s="8">
        <v>28</v>
      </c>
      <c r="AI30">
        <v>0</v>
      </c>
      <c r="AJ30">
        <v>0</v>
      </c>
      <c r="AK30" s="8" t="s">
        <v>315</v>
      </c>
      <c r="AL30" t="s">
        <v>316</v>
      </c>
      <c r="AM30" t="str">
        <f t="shared" si="13"/>
        <v>Honest</v>
      </c>
      <c r="AN30" s="4"/>
      <c r="AO30">
        <f t="shared" si="0"/>
        <v>1</v>
      </c>
      <c r="AP30">
        <f t="shared" si="1"/>
        <v>3</v>
      </c>
      <c r="AQ30">
        <f t="shared" si="2"/>
        <v>1</v>
      </c>
      <c r="AR30">
        <f t="shared" si="3"/>
        <v>6</v>
      </c>
      <c r="AS30">
        <f t="shared" si="14"/>
        <v>2</v>
      </c>
      <c r="AT30">
        <f t="shared" si="4"/>
        <v>2</v>
      </c>
      <c r="AU30">
        <f t="shared" si="5"/>
        <v>2</v>
      </c>
      <c r="AV30" s="19">
        <f t="shared" si="15"/>
        <v>1.8333333333333333</v>
      </c>
      <c r="AW30" s="4"/>
      <c r="AY30">
        <v>4</v>
      </c>
      <c r="AZ30">
        <v>3</v>
      </c>
      <c r="BA30">
        <v>2</v>
      </c>
      <c r="BB30">
        <v>4</v>
      </c>
      <c r="BC30">
        <v>5</v>
      </c>
      <c r="BD30">
        <v>2</v>
      </c>
      <c r="BE30">
        <f t="shared" si="6"/>
        <v>8</v>
      </c>
      <c r="BF30">
        <f t="shared" si="7"/>
        <v>1</v>
      </c>
      <c r="BG30">
        <f t="shared" si="8"/>
        <v>9</v>
      </c>
      <c r="BI30">
        <v>4</v>
      </c>
      <c r="BJ30">
        <v>3</v>
      </c>
      <c r="BK30">
        <v>2</v>
      </c>
      <c r="BL30">
        <v>4</v>
      </c>
      <c r="BM30">
        <v>5</v>
      </c>
      <c r="BN30">
        <v>2</v>
      </c>
      <c r="BO30">
        <f t="shared" si="9"/>
        <v>10</v>
      </c>
      <c r="BP30">
        <f t="shared" si="10"/>
        <v>0</v>
      </c>
      <c r="BQ30">
        <f t="shared" si="11"/>
        <v>10</v>
      </c>
      <c r="BR30">
        <f t="shared" si="12"/>
        <v>19</v>
      </c>
    </row>
    <row r="31" spans="1:70" ht="60" x14ac:dyDescent="0.25">
      <c r="A31" s="2" t="s">
        <v>33</v>
      </c>
      <c r="B31">
        <v>100</v>
      </c>
      <c r="C31">
        <v>188</v>
      </c>
      <c r="D31" s="2" t="s">
        <v>62</v>
      </c>
      <c r="E31" s="1">
        <v>44475.40105010417</v>
      </c>
      <c r="F31" s="2" t="s">
        <v>63</v>
      </c>
      <c r="G31" s="2" t="s">
        <v>63</v>
      </c>
      <c r="H31" s="2" t="s">
        <v>63</v>
      </c>
      <c r="I31" s="2" t="s">
        <v>63</v>
      </c>
      <c r="J31" s="2" t="s">
        <v>64</v>
      </c>
      <c r="K31" s="2" t="s">
        <v>65</v>
      </c>
      <c r="L31" s="2" t="s">
        <v>74</v>
      </c>
      <c r="M31" s="2" t="s">
        <v>71</v>
      </c>
      <c r="N31" s="2" t="s">
        <v>71</v>
      </c>
      <c r="O31" s="2" t="s">
        <v>75</v>
      </c>
      <c r="P31" s="2" t="s">
        <v>74</v>
      </c>
      <c r="Q31" s="2" t="s">
        <v>74</v>
      </c>
      <c r="R31" s="2" t="s">
        <v>72</v>
      </c>
      <c r="S31">
        <v>4</v>
      </c>
      <c r="T31">
        <v>2</v>
      </c>
      <c r="U31">
        <v>3</v>
      </c>
      <c r="V31">
        <v>3</v>
      </c>
      <c r="W31">
        <v>4</v>
      </c>
      <c r="X31">
        <v>4</v>
      </c>
      <c r="Y31" s="2" t="s">
        <v>72</v>
      </c>
      <c r="Z31">
        <v>4</v>
      </c>
      <c r="AA31">
        <v>3</v>
      </c>
      <c r="AB31">
        <v>3</v>
      </c>
      <c r="AC31">
        <v>3</v>
      </c>
      <c r="AD31">
        <v>4</v>
      </c>
      <c r="AE31">
        <v>3</v>
      </c>
      <c r="AF31" s="10" t="s">
        <v>104</v>
      </c>
      <c r="AG31" s="4"/>
      <c r="AH31" s="8">
        <v>29</v>
      </c>
      <c r="AI31">
        <v>0</v>
      </c>
      <c r="AJ31">
        <v>0</v>
      </c>
      <c r="AK31" s="8" t="s">
        <v>317</v>
      </c>
      <c r="AL31" t="s">
        <v>318</v>
      </c>
      <c r="AM31" t="str">
        <f t="shared" si="13"/>
        <v>Honest</v>
      </c>
      <c r="AN31" s="4"/>
      <c r="AO31">
        <f t="shared" si="0"/>
        <v>3</v>
      </c>
      <c r="AP31">
        <f t="shared" si="1"/>
        <v>2</v>
      </c>
      <c r="AQ31">
        <f t="shared" si="2"/>
        <v>2</v>
      </c>
      <c r="AR31">
        <f t="shared" si="3"/>
        <v>4</v>
      </c>
      <c r="AS31">
        <f t="shared" si="14"/>
        <v>4</v>
      </c>
      <c r="AT31">
        <f t="shared" si="4"/>
        <v>3</v>
      </c>
      <c r="AU31">
        <f t="shared" si="5"/>
        <v>3</v>
      </c>
      <c r="AV31" s="19">
        <f t="shared" si="15"/>
        <v>2.8333333333333335</v>
      </c>
      <c r="AW31" s="4"/>
      <c r="AY31">
        <v>5</v>
      </c>
      <c r="AZ31">
        <v>3</v>
      </c>
      <c r="BA31">
        <v>4</v>
      </c>
      <c r="BB31">
        <v>4</v>
      </c>
      <c r="BC31">
        <v>4</v>
      </c>
      <c r="BD31">
        <v>0</v>
      </c>
      <c r="BE31">
        <f t="shared" si="6"/>
        <v>8</v>
      </c>
      <c r="BF31">
        <f t="shared" si="7"/>
        <v>0</v>
      </c>
      <c r="BG31">
        <f t="shared" si="8"/>
        <v>8</v>
      </c>
      <c r="BI31">
        <v>5</v>
      </c>
      <c r="BJ31">
        <v>3</v>
      </c>
      <c r="BK31">
        <v>4</v>
      </c>
      <c r="BL31">
        <v>4</v>
      </c>
      <c r="BM31">
        <v>4</v>
      </c>
      <c r="BN31">
        <v>0</v>
      </c>
      <c r="BO31">
        <f t="shared" si="9"/>
        <v>6</v>
      </c>
      <c r="BP31">
        <f t="shared" si="10"/>
        <v>1</v>
      </c>
      <c r="BQ31">
        <f t="shared" si="11"/>
        <v>7</v>
      </c>
      <c r="BR31">
        <f t="shared" si="12"/>
        <v>15</v>
      </c>
    </row>
    <row r="32" spans="1:70" ht="30" x14ac:dyDescent="0.25">
      <c r="A32" s="2" t="s">
        <v>33</v>
      </c>
      <c r="B32">
        <v>100</v>
      </c>
      <c r="C32">
        <v>634</v>
      </c>
      <c r="D32" s="2" t="s">
        <v>62</v>
      </c>
      <c r="E32" s="1">
        <v>44475.408112291669</v>
      </c>
      <c r="F32" s="2" t="s">
        <v>63</v>
      </c>
      <c r="G32" s="2" t="s">
        <v>63</v>
      </c>
      <c r="H32" s="2" t="s">
        <v>63</v>
      </c>
      <c r="I32" s="2" t="s">
        <v>63</v>
      </c>
      <c r="J32" s="2" t="s">
        <v>64</v>
      </c>
      <c r="K32" s="2" t="s">
        <v>65</v>
      </c>
      <c r="L32" s="2" t="s">
        <v>66</v>
      </c>
      <c r="M32" s="2" t="s">
        <v>66</v>
      </c>
      <c r="N32" s="2" t="s">
        <v>66</v>
      </c>
      <c r="O32" s="2" t="s">
        <v>78</v>
      </c>
      <c r="P32" s="2" t="s">
        <v>66</v>
      </c>
      <c r="Q32" s="2" t="s">
        <v>66</v>
      </c>
      <c r="R32" s="2" t="s">
        <v>72</v>
      </c>
      <c r="S32">
        <v>1</v>
      </c>
      <c r="T32">
        <v>3</v>
      </c>
      <c r="U32">
        <v>3</v>
      </c>
      <c r="V32">
        <v>6</v>
      </c>
      <c r="W32">
        <v>3</v>
      </c>
      <c r="X32">
        <v>4</v>
      </c>
      <c r="Y32" s="2" t="s">
        <v>72</v>
      </c>
      <c r="Z32">
        <v>2</v>
      </c>
      <c r="AA32">
        <v>3</v>
      </c>
      <c r="AB32">
        <v>3</v>
      </c>
      <c r="AC32">
        <v>5</v>
      </c>
      <c r="AD32">
        <v>3</v>
      </c>
      <c r="AE32">
        <v>4</v>
      </c>
      <c r="AF32" s="10" t="s">
        <v>105</v>
      </c>
      <c r="AG32" s="4"/>
      <c r="AH32" s="8">
        <v>30</v>
      </c>
      <c r="AI32">
        <v>0</v>
      </c>
      <c r="AJ32">
        <v>0</v>
      </c>
      <c r="AK32" s="8" t="s">
        <v>315</v>
      </c>
      <c r="AL32" t="s">
        <v>316</v>
      </c>
      <c r="AM32" t="str">
        <f t="shared" si="13"/>
        <v>Honest</v>
      </c>
      <c r="AN32" s="4"/>
      <c r="AO32">
        <f t="shared" si="0"/>
        <v>1</v>
      </c>
      <c r="AP32">
        <f t="shared" si="1"/>
        <v>1</v>
      </c>
      <c r="AQ32">
        <f t="shared" si="2"/>
        <v>1</v>
      </c>
      <c r="AR32">
        <f t="shared" si="3"/>
        <v>7</v>
      </c>
      <c r="AS32">
        <f t="shared" si="14"/>
        <v>1</v>
      </c>
      <c r="AT32">
        <f t="shared" si="4"/>
        <v>1</v>
      </c>
      <c r="AU32">
        <f t="shared" si="5"/>
        <v>1</v>
      </c>
      <c r="AV32" s="19">
        <f t="shared" si="15"/>
        <v>1</v>
      </c>
      <c r="AW32" s="4"/>
      <c r="AY32">
        <v>0</v>
      </c>
      <c r="AZ32">
        <v>3</v>
      </c>
      <c r="BA32">
        <v>3</v>
      </c>
      <c r="BB32">
        <v>7</v>
      </c>
      <c r="BC32">
        <v>3</v>
      </c>
      <c r="BD32">
        <v>4</v>
      </c>
      <c r="BE32">
        <f t="shared" si="6"/>
        <v>2</v>
      </c>
      <c r="BF32">
        <f t="shared" si="7"/>
        <v>0</v>
      </c>
      <c r="BG32">
        <f t="shared" si="8"/>
        <v>2</v>
      </c>
      <c r="BI32">
        <v>0</v>
      </c>
      <c r="BJ32">
        <v>3</v>
      </c>
      <c r="BK32">
        <v>3</v>
      </c>
      <c r="BL32">
        <v>7</v>
      </c>
      <c r="BM32">
        <v>3</v>
      </c>
      <c r="BN32">
        <v>4</v>
      </c>
      <c r="BO32">
        <f t="shared" si="9"/>
        <v>4</v>
      </c>
      <c r="BP32">
        <f t="shared" si="10"/>
        <v>1</v>
      </c>
      <c r="BQ32">
        <f t="shared" si="11"/>
        <v>5</v>
      </c>
      <c r="BR32">
        <f t="shared" si="12"/>
        <v>7</v>
      </c>
    </row>
    <row r="33" spans="1:70" ht="30" x14ac:dyDescent="0.25">
      <c r="A33" s="2" t="s">
        <v>33</v>
      </c>
      <c r="B33">
        <v>100</v>
      </c>
      <c r="C33">
        <v>854</v>
      </c>
      <c r="D33" s="2" t="s">
        <v>62</v>
      </c>
      <c r="E33" s="1">
        <v>44475.425057777778</v>
      </c>
      <c r="F33" s="2" t="s">
        <v>63</v>
      </c>
      <c r="G33" s="2" t="s">
        <v>63</v>
      </c>
      <c r="H33" s="2" t="s">
        <v>63</v>
      </c>
      <c r="I33" s="2" t="s">
        <v>63</v>
      </c>
      <c r="J33" s="2" t="s">
        <v>64</v>
      </c>
      <c r="K33" s="2" t="s">
        <v>65</v>
      </c>
      <c r="L33" s="2" t="s">
        <v>71</v>
      </c>
      <c r="M33" s="2" t="s">
        <v>71</v>
      </c>
      <c r="N33" s="2" t="s">
        <v>71</v>
      </c>
      <c r="O33" s="2" t="s">
        <v>67</v>
      </c>
      <c r="P33" s="2" t="s">
        <v>71</v>
      </c>
      <c r="Q33" s="2" t="s">
        <v>71</v>
      </c>
      <c r="R33" s="2" t="s">
        <v>69</v>
      </c>
      <c r="S33">
        <v>4</v>
      </c>
      <c r="T33">
        <v>2</v>
      </c>
      <c r="U33">
        <v>2</v>
      </c>
      <c r="V33">
        <v>4</v>
      </c>
      <c r="W33">
        <v>4</v>
      </c>
      <c r="X33">
        <v>4</v>
      </c>
      <c r="Y33" s="2" t="s">
        <v>68</v>
      </c>
      <c r="Z33">
        <v>4</v>
      </c>
      <c r="AA33">
        <v>3</v>
      </c>
      <c r="AB33">
        <v>3</v>
      </c>
      <c r="AC33">
        <v>3</v>
      </c>
      <c r="AD33">
        <v>3</v>
      </c>
      <c r="AE33">
        <v>4</v>
      </c>
      <c r="AF33" s="10" t="s">
        <v>106</v>
      </c>
      <c r="AG33" s="4"/>
      <c r="AH33" s="8">
        <v>31</v>
      </c>
      <c r="AI33">
        <v>1</v>
      </c>
      <c r="AJ33">
        <v>0</v>
      </c>
      <c r="AK33" s="8" t="s">
        <v>317</v>
      </c>
      <c r="AL33" t="s">
        <v>318</v>
      </c>
      <c r="AM33" t="str">
        <f t="shared" si="13"/>
        <v>Honest</v>
      </c>
      <c r="AN33" s="4"/>
      <c r="AO33">
        <f t="shared" si="0"/>
        <v>2</v>
      </c>
      <c r="AP33">
        <f t="shared" si="1"/>
        <v>2</v>
      </c>
      <c r="AQ33">
        <f t="shared" si="2"/>
        <v>2</v>
      </c>
      <c r="AR33">
        <f t="shared" si="3"/>
        <v>6</v>
      </c>
      <c r="AS33">
        <f t="shared" si="14"/>
        <v>2</v>
      </c>
      <c r="AT33">
        <f t="shared" si="4"/>
        <v>2</v>
      </c>
      <c r="AU33">
        <f t="shared" si="5"/>
        <v>2</v>
      </c>
      <c r="AV33" s="19">
        <f t="shared" si="15"/>
        <v>2</v>
      </c>
      <c r="AW33" s="4"/>
      <c r="AY33">
        <v>4</v>
      </c>
      <c r="AZ33">
        <v>4</v>
      </c>
      <c r="BA33">
        <v>2</v>
      </c>
      <c r="BB33">
        <v>5</v>
      </c>
      <c r="BC33">
        <v>3</v>
      </c>
      <c r="BD33">
        <v>2</v>
      </c>
      <c r="BE33">
        <f t="shared" si="6"/>
        <v>6</v>
      </c>
      <c r="BF33">
        <f t="shared" si="7"/>
        <v>1</v>
      </c>
      <c r="BG33">
        <f t="shared" si="8"/>
        <v>7</v>
      </c>
      <c r="BI33">
        <v>4</v>
      </c>
      <c r="BJ33">
        <v>4</v>
      </c>
      <c r="BK33">
        <v>2</v>
      </c>
      <c r="BL33">
        <v>5</v>
      </c>
      <c r="BM33">
        <v>3</v>
      </c>
      <c r="BN33">
        <v>2</v>
      </c>
      <c r="BO33">
        <f t="shared" si="9"/>
        <v>6</v>
      </c>
      <c r="BP33">
        <f t="shared" si="10"/>
        <v>1</v>
      </c>
      <c r="BQ33">
        <f t="shared" si="11"/>
        <v>7</v>
      </c>
      <c r="BR33">
        <f t="shared" si="12"/>
        <v>14</v>
      </c>
    </row>
    <row r="34" spans="1:70" ht="60" x14ac:dyDescent="0.25">
      <c r="A34" s="2" t="s">
        <v>33</v>
      </c>
      <c r="B34">
        <v>100</v>
      </c>
      <c r="C34">
        <v>287</v>
      </c>
      <c r="D34" s="2" t="s">
        <v>62</v>
      </c>
      <c r="E34" s="1">
        <v>44475.432367789355</v>
      </c>
      <c r="F34" s="2" t="s">
        <v>63</v>
      </c>
      <c r="G34" s="2" t="s">
        <v>63</v>
      </c>
      <c r="H34" s="2" t="s">
        <v>63</v>
      </c>
      <c r="I34" s="2" t="s">
        <v>63</v>
      </c>
      <c r="J34" s="2" t="s">
        <v>64</v>
      </c>
      <c r="K34" s="2" t="s">
        <v>65</v>
      </c>
      <c r="L34" s="2" t="s">
        <v>66</v>
      </c>
      <c r="M34" s="2" t="s">
        <v>75</v>
      </c>
      <c r="N34" s="2" t="s">
        <v>71</v>
      </c>
      <c r="O34" s="2" t="s">
        <v>67</v>
      </c>
      <c r="P34" s="2" t="s">
        <v>75</v>
      </c>
      <c r="Q34" s="2" t="s">
        <v>74</v>
      </c>
      <c r="R34" s="2" t="s">
        <v>69</v>
      </c>
      <c r="S34">
        <v>2</v>
      </c>
      <c r="T34">
        <v>3</v>
      </c>
      <c r="U34">
        <v>2</v>
      </c>
      <c r="V34">
        <v>6</v>
      </c>
      <c r="W34">
        <v>3</v>
      </c>
      <c r="X34">
        <v>4</v>
      </c>
      <c r="Y34" s="2" t="s">
        <v>68</v>
      </c>
      <c r="Z34">
        <v>2</v>
      </c>
      <c r="AA34">
        <v>4</v>
      </c>
      <c r="AB34">
        <v>3</v>
      </c>
      <c r="AC34">
        <v>5</v>
      </c>
      <c r="AD34">
        <v>3</v>
      </c>
      <c r="AE34">
        <v>3</v>
      </c>
      <c r="AF34" s="10" t="s">
        <v>107</v>
      </c>
      <c r="AG34" s="4"/>
      <c r="AH34" s="8">
        <v>32</v>
      </c>
      <c r="AI34">
        <v>0</v>
      </c>
      <c r="AJ34">
        <v>0</v>
      </c>
      <c r="AK34" s="8" t="s">
        <v>315</v>
      </c>
      <c r="AL34" t="s">
        <v>316</v>
      </c>
      <c r="AM34" t="str">
        <f t="shared" si="13"/>
        <v>Honest</v>
      </c>
      <c r="AN34" s="4"/>
      <c r="AO34">
        <f t="shared" si="0"/>
        <v>1</v>
      </c>
      <c r="AP34">
        <f t="shared" si="1"/>
        <v>4</v>
      </c>
      <c r="AQ34">
        <f t="shared" si="2"/>
        <v>2</v>
      </c>
      <c r="AR34">
        <f t="shared" si="3"/>
        <v>6</v>
      </c>
      <c r="AS34">
        <f t="shared" si="14"/>
        <v>2</v>
      </c>
      <c r="AT34">
        <f t="shared" si="4"/>
        <v>4</v>
      </c>
      <c r="AU34">
        <f t="shared" si="5"/>
        <v>3</v>
      </c>
      <c r="AV34" s="19">
        <f t="shared" si="15"/>
        <v>2.6666666666666665</v>
      </c>
      <c r="AW34" s="4"/>
      <c r="AY34">
        <v>3</v>
      </c>
      <c r="AZ34">
        <v>1</v>
      </c>
      <c r="BA34">
        <v>2</v>
      </c>
      <c r="BB34">
        <v>6</v>
      </c>
      <c r="BC34">
        <v>3</v>
      </c>
      <c r="BD34">
        <v>5</v>
      </c>
      <c r="BE34">
        <f t="shared" si="6"/>
        <v>4</v>
      </c>
      <c r="BF34">
        <f t="shared" si="7"/>
        <v>1</v>
      </c>
      <c r="BG34">
        <f t="shared" si="8"/>
        <v>5</v>
      </c>
      <c r="BI34">
        <v>3</v>
      </c>
      <c r="BJ34">
        <v>1</v>
      </c>
      <c r="BK34">
        <v>2</v>
      </c>
      <c r="BL34">
        <v>6</v>
      </c>
      <c r="BM34">
        <v>3</v>
      </c>
      <c r="BN34">
        <v>5</v>
      </c>
      <c r="BO34">
        <f t="shared" si="9"/>
        <v>8</v>
      </c>
      <c r="BP34">
        <f t="shared" si="10"/>
        <v>1</v>
      </c>
      <c r="BQ34">
        <f t="shared" si="11"/>
        <v>9</v>
      </c>
      <c r="BR34">
        <f t="shared" si="12"/>
        <v>14</v>
      </c>
    </row>
    <row r="35" spans="1:70" ht="30" x14ac:dyDescent="0.25">
      <c r="A35" s="2" t="s">
        <v>33</v>
      </c>
      <c r="B35">
        <v>100</v>
      </c>
      <c r="C35">
        <v>313</v>
      </c>
      <c r="D35" s="2" t="s">
        <v>62</v>
      </c>
      <c r="E35" s="1">
        <v>44475.433914976849</v>
      </c>
      <c r="F35" s="2" t="s">
        <v>63</v>
      </c>
      <c r="G35" s="2" t="s">
        <v>63</v>
      </c>
      <c r="H35" s="2" t="s">
        <v>63</v>
      </c>
      <c r="I35" s="2" t="s">
        <v>63</v>
      </c>
      <c r="J35" s="2" t="s">
        <v>64</v>
      </c>
      <c r="K35" s="2" t="s">
        <v>65</v>
      </c>
      <c r="L35" s="2" t="s">
        <v>71</v>
      </c>
      <c r="M35" s="2" t="s">
        <v>71</v>
      </c>
      <c r="N35" s="2" t="s">
        <v>71</v>
      </c>
      <c r="O35" s="2" t="s">
        <v>67</v>
      </c>
      <c r="P35" s="2" t="s">
        <v>71</v>
      </c>
      <c r="Q35" s="2" t="s">
        <v>71</v>
      </c>
      <c r="R35" s="2" t="s">
        <v>72</v>
      </c>
      <c r="S35">
        <v>2</v>
      </c>
      <c r="T35">
        <v>3</v>
      </c>
      <c r="U35">
        <v>2</v>
      </c>
      <c r="V35">
        <v>4</v>
      </c>
      <c r="W35">
        <v>6</v>
      </c>
      <c r="X35">
        <v>3</v>
      </c>
      <c r="Y35" s="2" t="s">
        <v>68</v>
      </c>
      <c r="Z35">
        <v>2</v>
      </c>
      <c r="AA35">
        <v>4</v>
      </c>
      <c r="AB35">
        <v>2</v>
      </c>
      <c r="AC35">
        <v>5</v>
      </c>
      <c r="AD35">
        <v>5</v>
      </c>
      <c r="AE35">
        <v>2</v>
      </c>
      <c r="AF35" s="10" t="s">
        <v>108</v>
      </c>
      <c r="AG35" s="4"/>
      <c r="AH35" s="8">
        <v>33</v>
      </c>
      <c r="AI35">
        <v>0</v>
      </c>
      <c r="AJ35">
        <v>8</v>
      </c>
      <c r="AK35" s="8" t="s">
        <v>317</v>
      </c>
      <c r="AL35" t="s">
        <v>320</v>
      </c>
      <c r="AM35" t="str">
        <f t="shared" si="13"/>
        <v>Lie</v>
      </c>
      <c r="AN35" s="4"/>
      <c r="AO35">
        <f t="shared" si="0"/>
        <v>2</v>
      </c>
      <c r="AP35">
        <f t="shared" si="1"/>
        <v>2</v>
      </c>
      <c r="AQ35">
        <f t="shared" si="2"/>
        <v>2</v>
      </c>
      <c r="AR35">
        <f t="shared" si="3"/>
        <v>6</v>
      </c>
      <c r="AS35">
        <f t="shared" si="14"/>
        <v>2</v>
      </c>
      <c r="AT35">
        <f t="shared" si="4"/>
        <v>2</v>
      </c>
      <c r="AU35">
        <f t="shared" si="5"/>
        <v>2</v>
      </c>
      <c r="AV35" s="19">
        <f t="shared" si="15"/>
        <v>2</v>
      </c>
      <c r="AW35" s="4"/>
      <c r="AY35">
        <v>5</v>
      </c>
      <c r="AZ35">
        <v>3</v>
      </c>
      <c r="BA35">
        <v>7</v>
      </c>
      <c r="BB35">
        <v>1</v>
      </c>
      <c r="BC35">
        <v>2</v>
      </c>
      <c r="BD35">
        <v>2</v>
      </c>
      <c r="BE35">
        <f t="shared" si="6"/>
        <v>16</v>
      </c>
      <c r="BF35">
        <f t="shared" si="7"/>
        <v>0</v>
      </c>
      <c r="BG35">
        <f t="shared" si="8"/>
        <v>16</v>
      </c>
      <c r="BI35">
        <v>4</v>
      </c>
      <c r="BJ35">
        <v>3</v>
      </c>
      <c r="BK35">
        <v>3</v>
      </c>
      <c r="BL35">
        <v>2</v>
      </c>
      <c r="BM35">
        <v>5</v>
      </c>
      <c r="BN35">
        <v>3</v>
      </c>
      <c r="BO35">
        <f t="shared" si="9"/>
        <v>8</v>
      </c>
      <c r="BP35">
        <f t="shared" si="10"/>
        <v>1</v>
      </c>
      <c r="BQ35">
        <f t="shared" si="11"/>
        <v>9</v>
      </c>
      <c r="BR35">
        <f t="shared" si="12"/>
        <v>25</v>
      </c>
    </row>
    <row r="36" spans="1:70" ht="60" x14ac:dyDescent="0.25">
      <c r="A36" s="2" t="s">
        <v>33</v>
      </c>
      <c r="B36">
        <v>100</v>
      </c>
      <c r="C36">
        <v>199</v>
      </c>
      <c r="D36" s="2" t="s">
        <v>62</v>
      </c>
      <c r="E36" s="1">
        <v>44475.453245729164</v>
      </c>
      <c r="F36" s="2" t="s">
        <v>63</v>
      </c>
      <c r="G36" s="2" t="s">
        <v>63</v>
      </c>
      <c r="H36" s="2" t="s">
        <v>63</v>
      </c>
      <c r="I36" s="2" t="s">
        <v>63</v>
      </c>
      <c r="J36" s="2" t="s">
        <v>64</v>
      </c>
      <c r="K36" s="2" t="s">
        <v>65</v>
      </c>
      <c r="L36" s="2" t="s">
        <v>71</v>
      </c>
      <c r="M36" s="2" t="s">
        <v>75</v>
      </c>
      <c r="N36" s="2" t="s">
        <v>71</v>
      </c>
      <c r="O36" s="2" t="s">
        <v>67</v>
      </c>
      <c r="P36" s="2" t="s">
        <v>81</v>
      </c>
      <c r="Q36" s="2" t="s">
        <v>81</v>
      </c>
      <c r="R36" s="2" t="s">
        <v>72</v>
      </c>
      <c r="S36">
        <v>4</v>
      </c>
      <c r="T36">
        <v>3</v>
      </c>
      <c r="U36">
        <v>5</v>
      </c>
      <c r="V36">
        <v>1</v>
      </c>
      <c r="W36">
        <v>4</v>
      </c>
      <c r="X36">
        <v>3</v>
      </c>
      <c r="Y36" s="2" t="s">
        <v>72</v>
      </c>
      <c r="Z36">
        <v>5</v>
      </c>
      <c r="AA36">
        <v>2</v>
      </c>
      <c r="AB36">
        <v>4</v>
      </c>
      <c r="AC36">
        <v>1</v>
      </c>
      <c r="AD36">
        <v>5</v>
      </c>
      <c r="AE36">
        <v>3</v>
      </c>
      <c r="AF36" s="10" t="s">
        <v>109</v>
      </c>
      <c r="AG36" s="4"/>
      <c r="AH36" s="8">
        <v>34</v>
      </c>
      <c r="AI36">
        <v>0</v>
      </c>
      <c r="AJ36">
        <v>0</v>
      </c>
      <c r="AK36" s="8" t="s">
        <v>315</v>
      </c>
      <c r="AL36" t="s">
        <v>316</v>
      </c>
      <c r="AM36" t="str">
        <f t="shared" si="13"/>
        <v>Honest</v>
      </c>
      <c r="AN36" s="4"/>
      <c r="AO36">
        <f t="shared" si="0"/>
        <v>2</v>
      </c>
      <c r="AP36">
        <f t="shared" si="1"/>
        <v>4</v>
      </c>
      <c r="AQ36">
        <f t="shared" si="2"/>
        <v>2</v>
      </c>
      <c r="AR36">
        <f t="shared" si="3"/>
        <v>6</v>
      </c>
      <c r="AS36">
        <f t="shared" si="14"/>
        <v>2</v>
      </c>
      <c r="AT36">
        <f t="shared" si="4"/>
        <v>5</v>
      </c>
      <c r="AU36">
        <f t="shared" si="5"/>
        <v>5</v>
      </c>
      <c r="AV36" s="19">
        <f t="shared" si="15"/>
        <v>3.3333333333333335</v>
      </c>
      <c r="AW36" s="4"/>
      <c r="AY36">
        <v>6</v>
      </c>
      <c r="AZ36">
        <v>2</v>
      </c>
      <c r="BA36">
        <v>4</v>
      </c>
      <c r="BB36">
        <v>1</v>
      </c>
      <c r="BC36">
        <v>4</v>
      </c>
      <c r="BD36">
        <v>3</v>
      </c>
      <c r="BE36">
        <f t="shared" si="6"/>
        <v>4</v>
      </c>
      <c r="BF36">
        <f t="shared" si="7"/>
        <v>0</v>
      </c>
      <c r="BG36">
        <f t="shared" si="8"/>
        <v>4</v>
      </c>
      <c r="BI36">
        <v>6</v>
      </c>
      <c r="BJ36">
        <v>2</v>
      </c>
      <c r="BK36">
        <v>4</v>
      </c>
      <c r="BL36">
        <v>1</v>
      </c>
      <c r="BM36">
        <v>4</v>
      </c>
      <c r="BN36">
        <v>3</v>
      </c>
      <c r="BO36">
        <f t="shared" si="9"/>
        <v>2</v>
      </c>
      <c r="BP36">
        <f t="shared" si="10"/>
        <v>1</v>
      </c>
      <c r="BQ36">
        <f t="shared" si="11"/>
        <v>3</v>
      </c>
      <c r="BR36">
        <f t="shared" si="12"/>
        <v>7</v>
      </c>
    </row>
    <row r="37" spans="1:70" ht="60" x14ac:dyDescent="0.25">
      <c r="A37" s="2" t="s">
        <v>33</v>
      </c>
      <c r="B37">
        <v>100</v>
      </c>
      <c r="C37">
        <v>339</v>
      </c>
      <c r="D37" s="2" t="s">
        <v>62</v>
      </c>
      <c r="E37" s="1">
        <v>44475.496457650464</v>
      </c>
      <c r="F37" s="2" t="s">
        <v>63</v>
      </c>
      <c r="G37" s="2" t="s">
        <v>63</v>
      </c>
      <c r="H37" s="2" t="s">
        <v>63</v>
      </c>
      <c r="I37" s="2" t="s">
        <v>63</v>
      </c>
      <c r="J37" s="2" t="s">
        <v>64</v>
      </c>
      <c r="K37" s="2" t="s">
        <v>65</v>
      </c>
      <c r="L37" s="2" t="s">
        <v>71</v>
      </c>
      <c r="M37" s="2" t="s">
        <v>75</v>
      </c>
      <c r="N37" s="2" t="s">
        <v>71</v>
      </c>
      <c r="O37" s="2" t="s">
        <v>75</v>
      </c>
      <c r="P37" s="2" t="s">
        <v>75</v>
      </c>
      <c r="Q37" s="2" t="s">
        <v>75</v>
      </c>
      <c r="R37" s="2" t="s">
        <v>69</v>
      </c>
      <c r="S37">
        <v>3</v>
      </c>
      <c r="T37">
        <v>5</v>
      </c>
      <c r="U37">
        <v>4</v>
      </c>
      <c r="V37">
        <v>2</v>
      </c>
      <c r="W37">
        <v>3</v>
      </c>
      <c r="X37">
        <v>3</v>
      </c>
      <c r="Y37" s="2" t="s">
        <v>69</v>
      </c>
      <c r="Z37">
        <v>3</v>
      </c>
      <c r="AA37">
        <v>5</v>
      </c>
      <c r="AB37">
        <v>1</v>
      </c>
      <c r="AC37">
        <v>3</v>
      </c>
      <c r="AD37">
        <v>5</v>
      </c>
      <c r="AE37">
        <v>3</v>
      </c>
      <c r="AF37" s="10" t="s">
        <v>110</v>
      </c>
      <c r="AG37" s="4"/>
      <c r="AH37" s="8">
        <v>35</v>
      </c>
      <c r="AI37">
        <v>0</v>
      </c>
      <c r="AJ37">
        <v>7</v>
      </c>
      <c r="AK37" s="8" t="s">
        <v>315</v>
      </c>
      <c r="AL37" t="s">
        <v>319</v>
      </c>
      <c r="AM37" t="str">
        <f t="shared" si="13"/>
        <v>Lie</v>
      </c>
      <c r="AN37" s="4"/>
      <c r="AO37">
        <f t="shared" si="0"/>
        <v>2</v>
      </c>
      <c r="AP37">
        <f t="shared" si="1"/>
        <v>4</v>
      </c>
      <c r="AQ37">
        <f t="shared" si="2"/>
        <v>2</v>
      </c>
      <c r="AR37">
        <f t="shared" si="3"/>
        <v>4</v>
      </c>
      <c r="AS37">
        <f t="shared" si="14"/>
        <v>4</v>
      </c>
      <c r="AT37">
        <f t="shared" si="4"/>
        <v>4</v>
      </c>
      <c r="AU37">
        <f t="shared" si="5"/>
        <v>4</v>
      </c>
      <c r="AV37" s="19">
        <f t="shared" si="15"/>
        <v>3.3333333333333335</v>
      </c>
      <c r="AW37" s="4"/>
      <c r="AY37">
        <v>2</v>
      </c>
      <c r="AZ37">
        <v>5</v>
      </c>
      <c r="BA37">
        <v>4</v>
      </c>
      <c r="BB37">
        <v>2</v>
      </c>
      <c r="BC37">
        <v>2</v>
      </c>
      <c r="BD37">
        <v>5</v>
      </c>
      <c r="BE37">
        <f t="shared" si="6"/>
        <v>4</v>
      </c>
      <c r="BF37">
        <f t="shared" si="7"/>
        <v>1</v>
      </c>
      <c r="BG37">
        <f t="shared" si="8"/>
        <v>5</v>
      </c>
      <c r="BI37">
        <v>2</v>
      </c>
      <c r="BJ37">
        <v>6</v>
      </c>
      <c r="BK37">
        <v>1</v>
      </c>
      <c r="BL37">
        <v>2</v>
      </c>
      <c r="BM37">
        <v>3</v>
      </c>
      <c r="BN37">
        <v>6</v>
      </c>
      <c r="BO37">
        <f t="shared" si="9"/>
        <v>8</v>
      </c>
      <c r="BP37">
        <f t="shared" si="10"/>
        <v>0</v>
      </c>
      <c r="BQ37">
        <f t="shared" si="11"/>
        <v>8</v>
      </c>
      <c r="BR37">
        <f t="shared" si="12"/>
        <v>13</v>
      </c>
    </row>
    <row r="38" spans="1:70" ht="60" x14ac:dyDescent="0.25">
      <c r="A38" s="2" t="s">
        <v>33</v>
      </c>
      <c r="B38">
        <v>100</v>
      </c>
      <c r="C38">
        <v>276</v>
      </c>
      <c r="D38" s="2" t="s">
        <v>62</v>
      </c>
      <c r="E38" s="1">
        <v>44475.506469305554</v>
      </c>
      <c r="F38" s="2" t="s">
        <v>63</v>
      </c>
      <c r="G38" s="2" t="s">
        <v>63</v>
      </c>
      <c r="H38" s="2" t="s">
        <v>63</v>
      </c>
      <c r="I38" s="2" t="s">
        <v>63</v>
      </c>
      <c r="J38" s="2" t="s">
        <v>64</v>
      </c>
      <c r="K38" s="2" t="s">
        <v>65</v>
      </c>
      <c r="L38" s="2" t="s">
        <v>71</v>
      </c>
      <c r="M38" s="2" t="s">
        <v>75</v>
      </c>
      <c r="N38" s="2" t="s">
        <v>71</v>
      </c>
      <c r="O38" s="2" t="s">
        <v>67</v>
      </c>
      <c r="P38" s="2" t="s">
        <v>74</v>
      </c>
      <c r="Q38" s="2" t="s">
        <v>74</v>
      </c>
      <c r="R38" s="2" t="s">
        <v>72</v>
      </c>
      <c r="S38">
        <v>3</v>
      </c>
      <c r="T38">
        <v>3</v>
      </c>
      <c r="U38">
        <v>3</v>
      </c>
      <c r="V38">
        <v>3</v>
      </c>
      <c r="W38">
        <v>4</v>
      </c>
      <c r="X38">
        <v>4</v>
      </c>
      <c r="Y38" s="2" t="s">
        <v>68</v>
      </c>
      <c r="Z38">
        <v>4</v>
      </c>
      <c r="AA38">
        <v>4</v>
      </c>
      <c r="AB38">
        <v>3</v>
      </c>
      <c r="AC38">
        <v>3</v>
      </c>
      <c r="AD38">
        <v>3</v>
      </c>
      <c r="AE38">
        <v>3</v>
      </c>
      <c r="AF38" s="10" t="s">
        <v>111</v>
      </c>
      <c r="AG38" s="4"/>
      <c r="AH38" s="8">
        <v>36</v>
      </c>
      <c r="AI38">
        <v>0</v>
      </c>
      <c r="AJ38">
        <v>0</v>
      </c>
      <c r="AK38" s="8" t="s">
        <v>315</v>
      </c>
      <c r="AL38" t="s">
        <v>316</v>
      </c>
      <c r="AM38" t="str">
        <f t="shared" si="13"/>
        <v>Honest</v>
      </c>
      <c r="AN38" s="4"/>
      <c r="AO38">
        <f t="shared" si="0"/>
        <v>2</v>
      </c>
      <c r="AP38">
        <f t="shared" si="1"/>
        <v>4</v>
      </c>
      <c r="AQ38">
        <f t="shared" si="2"/>
        <v>2</v>
      </c>
      <c r="AR38">
        <f t="shared" si="3"/>
        <v>6</v>
      </c>
      <c r="AS38">
        <f t="shared" si="14"/>
        <v>2</v>
      </c>
      <c r="AT38">
        <f t="shared" si="4"/>
        <v>3</v>
      </c>
      <c r="AU38">
        <f t="shared" si="5"/>
        <v>3</v>
      </c>
      <c r="AV38" s="19">
        <f t="shared" si="15"/>
        <v>2.6666666666666665</v>
      </c>
      <c r="AW38" s="4"/>
      <c r="AY38">
        <v>3</v>
      </c>
      <c r="AZ38">
        <v>3</v>
      </c>
      <c r="BA38">
        <v>4</v>
      </c>
      <c r="BB38">
        <v>2</v>
      </c>
      <c r="BC38">
        <v>5</v>
      </c>
      <c r="BD38">
        <v>3</v>
      </c>
      <c r="BE38">
        <f t="shared" si="6"/>
        <v>4</v>
      </c>
      <c r="BF38">
        <f t="shared" si="7"/>
        <v>0</v>
      </c>
      <c r="BG38">
        <f t="shared" si="8"/>
        <v>4</v>
      </c>
      <c r="BI38">
        <v>3</v>
      </c>
      <c r="BJ38">
        <v>3</v>
      </c>
      <c r="BK38">
        <v>4</v>
      </c>
      <c r="BL38">
        <v>2</v>
      </c>
      <c r="BM38">
        <v>5</v>
      </c>
      <c r="BN38">
        <v>3</v>
      </c>
      <c r="BO38">
        <f t="shared" si="9"/>
        <v>6</v>
      </c>
      <c r="BP38">
        <f t="shared" si="10"/>
        <v>1</v>
      </c>
      <c r="BQ38">
        <f t="shared" si="11"/>
        <v>7</v>
      </c>
      <c r="BR38">
        <f t="shared" si="12"/>
        <v>11</v>
      </c>
    </row>
    <row r="39" spans="1:70" ht="45" x14ac:dyDescent="0.25">
      <c r="A39" s="2" t="s">
        <v>33</v>
      </c>
      <c r="B39">
        <v>100</v>
      </c>
      <c r="C39">
        <v>687</v>
      </c>
      <c r="D39" s="2" t="s">
        <v>62</v>
      </c>
      <c r="E39" s="1">
        <v>44475.531056203705</v>
      </c>
      <c r="F39" s="2" t="s">
        <v>63</v>
      </c>
      <c r="G39" s="2" t="s">
        <v>63</v>
      </c>
      <c r="H39" s="2" t="s">
        <v>63</v>
      </c>
      <c r="I39" s="2" t="s">
        <v>63</v>
      </c>
      <c r="J39" s="2" t="s">
        <v>64</v>
      </c>
      <c r="K39" s="2" t="s">
        <v>65</v>
      </c>
      <c r="L39" s="2" t="s">
        <v>74</v>
      </c>
      <c r="M39" s="2" t="s">
        <v>71</v>
      </c>
      <c r="N39" s="2" t="s">
        <v>71</v>
      </c>
      <c r="O39" s="2" t="s">
        <v>81</v>
      </c>
      <c r="P39" s="2" t="s">
        <v>74</v>
      </c>
      <c r="Q39" s="2" t="s">
        <v>71</v>
      </c>
      <c r="R39" s="2" t="s">
        <v>72</v>
      </c>
      <c r="S39">
        <v>2</v>
      </c>
      <c r="T39">
        <v>0</v>
      </c>
      <c r="U39">
        <v>4</v>
      </c>
      <c r="V39">
        <v>4</v>
      </c>
      <c r="W39">
        <v>6</v>
      </c>
      <c r="X39">
        <v>4</v>
      </c>
      <c r="Y39" s="2" t="s">
        <v>72</v>
      </c>
      <c r="Z39">
        <v>2</v>
      </c>
      <c r="AA39">
        <v>3</v>
      </c>
      <c r="AB39">
        <v>3</v>
      </c>
      <c r="AC39">
        <v>4</v>
      </c>
      <c r="AD39">
        <v>5</v>
      </c>
      <c r="AE39">
        <v>3</v>
      </c>
      <c r="AF39" s="10" t="s">
        <v>112</v>
      </c>
      <c r="AG39" s="4"/>
      <c r="AH39" s="8">
        <v>37</v>
      </c>
      <c r="AI39">
        <v>6</v>
      </c>
      <c r="AJ39">
        <v>1</v>
      </c>
      <c r="AK39" s="8" t="s">
        <v>317</v>
      </c>
      <c r="AL39" t="s">
        <v>319</v>
      </c>
      <c r="AM39" t="str">
        <f t="shared" si="13"/>
        <v>Lie</v>
      </c>
      <c r="AN39" s="4"/>
      <c r="AO39">
        <f t="shared" si="0"/>
        <v>3</v>
      </c>
      <c r="AP39">
        <f t="shared" si="1"/>
        <v>2</v>
      </c>
      <c r="AQ39">
        <f t="shared" si="2"/>
        <v>2</v>
      </c>
      <c r="AR39">
        <f t="shared" si="3"/>
        <v>5</v>
      </c>
      <c r="AS39">
        <f t="shared" si="14"/>
        <v>3</v>
      </c>
      <c r="AT39">
        <f t="shared" si="4"/>
        <v>3</v>
      </c>
      <c r="AU39">
        <f t="shared" si="5"/>
        <v>2</v>
      </c>
      <c r="AV39" s="19">
        <f t="shared" si="15"/>
        <v>2.5</v>
      </c>
      <c r="AW39" s="4"/>
      <c r="AY39">
        <v>3</v>
      </c>
      <c r="AZ39">
        <v>2</v>
      </c>
      <c r="BA39">
        <v>5</v>
      </c>
      <c r="BB39">
        <v>3</v>
      </c>
      <c r="BC39">
        <v>4</v>
      </c>
      <c r="BD39">
        <v>3</v>
      </c>
      <c r="BE39">
        <f t="shared" si="6"/>
        <v>8</v>
      </c>
      <c r="BF39">
        <f t="shared" si="7"/>
        <v>0</v>
      </c>
      <c r="BG39">
        <f t="shared" si="8"/>
        <v>8</v>
      </c>
      <c r="BI39">
        <v>3</v>
      </c>
      <c r="BJ39">
        <v>4</v>
      </c>
      <c r="BK39">
        <v>4</v>
      </c>
      <c r="BL39">
        <v>2</v>
      </c>
      <c r="BM39">
        <v>3</v>
      </c>
      <c r="BN39">
        <v>4</v>
      </c>
      <c r="BO39">
        <f t="shared" si="9"/>
        <v>8</v>
      </c>
      <c r="BP39">
        <f t="shared" si="10"/>
        <v>1</v>
      </c>
      <c r="BQ39">
        <f t="shared" si="11"/>
        <v>9</v>
      </c>
      <c r="BR39">
        <f t="shared" si="12"/>
        <v>17</v>
      </c>
    </row>
    <row r="40" spans="1:70" ht="60" x14ac:dyDescent="0.25">
      <c r="A40" s="2" t="s">
        <v>33</v>
      </c>
      <c r="B40">
        <v>100</v>
      </c>
      <c r="C40">
        <v>444</v>
      </c>
      <c r="D40" s="2" t="s">
        <v>62</v>
      </c>
      <c r="E40" s="1">
        <v>44475.542660104169</v>
      </c>
      <c r="F40" s="2" t="s">
        <v>63</v>
      </c>
      <c r="G40" s="2" t="s">
        <v>63</v>
      </c>
      <c r="H40" s="2" t="s">
        <v>63</v>
      </c>
      <c r="I40" s="2" t="s">
        <v>63</v>
      </c>
      <c r="J40" s="2" t="s">
        <v>64</v>
      </c>
      <c r="K40" s="2" t="s">
        <v>65</v>
      </c>
      <c r="L40" s="2" t="s">
        <v>66</v>
      </c>
      <c r="M40" s="2" t="s">
        <v>71</v>
      </c>
      <c r="N40" s="2" t="s">
        <v>66</v>
      </c>
      <c r="O40" s="2" t="s">
        <v>78</v>
      </c>
      <c r="P40" s="2" t="s">
        <v>71</v>
      </c>
      <c r="Q40" s="2" t="s">
        <v>75</v>
      </c>
      <c r="R40" s="2" t="s">
        <v>69</v>
      </c>
      <c r="S40">
        <v>3</v>
      </c>
      <c r="T40">
        <v>3</v>
      </c>
      <c r="U40">
        <v>7</v>
      </c>
      <c r="V40">
        <v>2</v>
      </c>
      <c r="W40">
        <v>4</v>
      </c>
      <c r="X40">
        <v>1</v>
      </c>
      <c r="Y40" s="2" t="s">
        <v>68</v>
      </c>
      <c r="Z40">
        <v>3</v>
      </c>
      <c r="AA40">
        <v>3</v>
      </c>
      <c r="AB40">
        <v>7</v>
      </c>
      <c r="AC40">
        <v>2</v>
      </c>
      <c r="AD40">
        <v>4</v>
      </c>
      <c r="AE40">
        <v>1</v>
      </c>
      <c r="AF40" s="10" t="s">
        <v>113</v>
      </c>
      <c r="AG40" s="4"/>
      <c r="AH40" s="8">
        <v>38</v>
      </c>
      <c r="AI40">
        <v>0</v>
      </c>
      <c r="AJ40">
        <v>0</v>
      </c>
      <c r="AK40" s="8" t="s">
        <v>317</v>
      </c>
      <c r="AL40" t="s">
        <v>318</v>
      </c>
      <c r="AM40" t="str">
        <f t="shared" si="13"/>
        <v>Honest</v>
      </c>
      <c r="AN40" s="4"/>
      <c r="AO40">
        <f t="shared" si="0"/>
        <v>1</v>
      </c>
      <c r="AP40">
        <f t="shared" si="1"/>
        <v>2</v>
      </c>
      <c r="AQ40">
        <f t="shared" si="2"/>
        <v>1</v>
      </c>
      <c r="AR40">
        <f t="shared" si="3"/>
        <v>7</v>
      </c>
      <c r="AS40">
        <f t="shared" si="14"/>
        <v>1</v>
      </c>
      <c r="AT40">
        <f t="shared" si="4"/>
        <v>2</v>
      </c>
      <c r="AU40">
        <f t="shared" si="5"/>
        <v>4</v>
      </c>
      <c r="AV40" s="19">
        <f t="shared" si="15"/>
        <v>1.8333333333333333</v>
      </c>
      <c r="AW40" s="4"/>
      <c r="AY40">
        <v>3</v>
      </c>
      <c r="AZ40">
        <v>3</v>
      </c>
      <c r="BA40">
        <v>7</v>
      </c>
      <c r="BB40">
        <v>2</v>
      </c>
      <c r="BC40">
        <v>4</v>
      </c>
      <c r="BD40">
        <v>1</v>
      </c>
      <c r="BE40">
        <f t="shared" si="6"/>
        <v>0</v>
      </c>
      <c r="BF40">
        <f t="shared" si="7"/>
        <v>1</v>
      </c>
      <c r="BG40">
        <f t="shared" si="8"/>
        <v>1</v>
      </c>
      <c r="BI40">
        <v>3</v>
      </c>
      <c r="BJ40">
        <v>3</v>
      </c>
      <c r="BK40">
        <v>7</v>
      </c>
      <c r="BL40">
        <v>2</v>
      </c>
      <c r="BM40">
        <v>4</v>
      </c>
      <c r="BN40">
        <v>1</v>
      </c>
      <c r="BO40">
        <f t="shared" si="9"/>
        <v>0</v>
      </c>
      <c r="BP40">
        <f t="shared" si="10"/>
        <v>1</v>
      </c>
      <c r="BQ40">
        <f t="shared" si="11"/>
        <v>1</v>
      </c>
      <c r="BR40">
        <f t="shared" si="12"/>
        <v>2</v>
      </c>
    </row>
    <row r="41" spans="1:70" ht="30" x14ac:dyDescent="0.25">
      <c r="A41" s="2" t="s">
        <v>33</v>
      </c>
      <c r="B41">
        <v>100</v>
      </c>
      <c r="C41">
        <v>500</v>
      </c>
      <c r="D41" s="2" t="s">
        <v>62</v>
      </c>
      <c r="E41" s="1">
        <v>44475.554640729169</v>
      </c>
      <c r="F41" s="2" t="s">
        <v>63</v>
      </c>
      <c r="G41" s="2" t="s">
        <v>63</v>
      </c>
      <c r="H41" s="2" t="s">
        <v>63</v>
      </c>
      <c r="I41" s="2" t="s">
        <v>63</v>
      </c>
      <c r="J41" s="2" t="s">
        <v>64</v>
      </c>
      <c r="K41" s="2" t="s">
        <v>65</v>
      </c>
      <c r="L41" s="2" t="s">
        <v>66</v>
      </c>
      <c r="M41" s="2" t="s">
        <v>74</v>
      </c>
      <c r="N41" s="2" t="s">
        <v>66</v>
      </c>
      <c r="O41" s="2" t="s">
        <v>78</v>
      </c>
      <c r="P41" s="2" t="s">
        <v>74</v>
      </c>
      <c r="Q41" s="2" t="s">
        <v>74</v>
      </c>
      <c r="R41" s="2" t="s">
        <v>69</v>
      </c>
      <c r="S41">
        <v>1</v>
      </c>
      <c r="T41">
        <v>5</v>
      </c>
      <c r="U41">
        <v>2</v>
      </c>
      <c r="V41">
        <v>5</v>
      </c>
      <c r="W41">
        <v>5</v>
      </c>
      <c r="X41">
        <v>2</v>
      </c>
      <c r="Y41" s="2" t="s">
        <v>114</v>
      </c>
      <c r="Z41">
        <v>0</v>
      </c>
      <c r="AA41">
        <v>5</v>
      </c>
      <c r="AB41">
        <v>3</v>
      </c>
      <c r="AC41">
        <v>5</v>
      </c>
      <c r="AD41">
        <v>5</v>
      </c>
      <c r="AE41">
        <v>2</v>
      </c>
      <c r="AF41" s="10" t="s">
        <v>115</v>
      </c>
      <c r="AG41" s="4"/>
      <c r="AH41" s="8">
        <v>39</v>
      </c>
      <c r="AI41">
        <v>0</v>
      </c>
      <c r="AJ41">
        <v>0</v>
      </c>
      <c r="AK41" s="8" t="s">
        <v>317</v>
      </c>
      <c r="AL41" t="s">
        <v>318</v>
      </c>
      <c r="AM41" t="str">
        <f t="shared" si="13"/>
        <v>Honest</v>
      </c>
      <c r="AN41" s="4"/>
      <c r="AO41">
        <f t="shared" si="0"/>
        <v>1</v>
      </c>
      <c r="AP41">
        <f t="shared" si="1"/>
        <v>3</v>
      </c>
      <c r="AQ41">
        <f t="shared" si="2"/>
        <v>1</v>
      </c>
      <c r="AR41">
        <f t="shared" si="3"/>
        <v>7</v>
      </c>
      <c r="AS41">
        <f t="shared" si="14"/>
        <v>1</v>
      </c>
      <c r="AT41">
        <f t="shared" si="4"/>
        <v>3</v>
      </c>
      <c r="AU41">
        <f t="shared" si="5"/>
        <v>3</v>
      </c>
      <c r="AV41" s="19">
        <f t="shared" si="15"/>
        <v>2</v>
      </c>
      <c r="AW41" s="4"/>
      <c r="AY41">
        <v>2</v>
      </c>
      <c r="AZ41">
        <v>4</v>
      </c>
      <c r="BA41">
        <v>3</v>
      </c>
      <c r="BB41">
        <v>6</v>
      </c>
      <c r="BC41">
        <v>1</v>
      </c>
      <c r="BD41">
        <v>4</v>
      </c>
      <c r="BE41">
        <f t="shared" si="6"/>
        <v>10</v>
      </c>
      <c r="BF41">
        <f t="shared" si="7"/>
        <v>1</v>
      </c>
      <c r="BG41">
        <f t="shared" si="8"/>
        <v>11</v>
      </c>
      <c r="BI41">
        <v>2</v>
      </c>
      <c r="BJ41">
        <v>4</v>
      </c>
      <c r="BK41">
        <v>3</v>
      </c>
      <c r="BL41">
        <v>6</v>
      </c>
      <c r="BM41">
        <v>1</v>
      </c>
      <c r="BN41">
        <v>4</v>
      </c>
      <c r="BO41">
        <f t="shared" si="9"/>
        <v>10</v>
      </c>
      <c r="BP41">
        <f t="shared" si="10"/>
        <v>1</v>
      </c>
      <c r="BQ41">
        <f t="shared" si="11"/>
        <v>11</v>
      </c>
      <c r="BR41">
        <f t="shared" si="12"/>
        <v>22</v>
      </c>
    </row>
    <row r="42" spans="1:70" s="4" customFormat="1" ht="30" x14ac:dyDescent="0.25">
      <c r="A42" s="2" t="s">
        <v>33</v>
      </c>
      <c r="B42">
        <v>100</v>
      </c>
      <c r="C42">
        <v>366</v>
      </c>
      <c r="D42" s="2" t="s">
        <v>62</v>
      </c>
      <c r="E42" s="1">
        <v>44475.588355254629</v>
      </c>
      <c r="F42" s="2" t="s">
        <v>63</v>
      </c>
      <c r="G42" s="2" t="s">
        <v>63</v>
      </c>
      <c r="H42" s="2" t="s">
        <v>63</v>
      </c>
      <c r="I42" s="2" t="s">
        <v>63</v>
      </c>
      <c r="J42" s="2" t="s">
        <v>64</v>
      </c>
      <c r="K42" s="2" t="s">
        <v>65</v>
      </c>
      <c r="L42" s="2" t="s">
        <v>66</v>
      </c>
      <c r="M42" s="2" t="s">
        <v>71</v>
      </c>
      <c r="N42" s="2" t="s">
        <v>66</v>
      </c>
      <c r="O42" s="2" t="s">
        <v>67</v>
      </c>
      <c r="P42" s="2" t="s">
        <v>74</v>
      </c>
      <c r="Q42" s="2" t="s">
        <v>74</v>
      </c>
      <c r="R42" s="2" t="s">
        <v>72</v>
      </c>
      <c r="S42">
        <v>2</v>
      </c>
      <c r="T42">
        <v>4</v>
      </c>
      <c r="U42">
        <v>2</v>
      </c>
      <c r="V42">
        <v>3</v>
      </c>
      <c r="W42">
        <v>4</v>
      </c>
      <c r="X42">
        <v>5</v>
      </c>
      <c r="Y42" s="2" t="s">
        <v>72</v>
      </c>
      <c r="Z42">
        <v>3</v>
      </c>
      <c r="AA42">
        <v>3</v>
      </c>
      <c r="AB42">
        <v>2</v>
      </c>
      <c r="AC42">
        <v>3</v>
      </c>
      <c r="AD42">
        <v>5</v>
      </c>
      <c r="AE42">
        <v>4</v>
      </c>
      <c r="AF42" s="10" t="s">
        <v>116</v>
      </c>
      <c r="AH42" s="8">
        <v>40</v>
      </c>
      <c r="AI42">
        <v>0</v>
      </c>
      <c r="AJ42">
        <v>14</v>
      </c>
      <c r="AK42" s="8" t="s">
        <v>317</v>
      </c>
      <c r="AL42" t="s">
        <v>320</v>
      </c>
      <c r="AM42" t="str">
        <f t="shared" si="13"/>
        <v>Lie</v>
      </c>
      <c r="AO42">
        <f t="shared" si="0"/>
        <v>1</v>
      </c>
      <c r="AP42">
        <f t="shared" si="1"/>
        <v>2</v>
      </c>
      <c r="AQ42">
        <f t="shared" si="2"/>
        <v>1</v>
      </c>
      <c r="AR42">
        <f t="shared" si="3"/>
        <v>6</v>
      </c>
      <c r="AS42">
        <f t="shared" si="14"/>
        <v>2</v>
      </c>
      <c r="AT42">
        <f t="shared" si="4"/>
        <v>3</v>
      </c>
      <c r="AU42">
        <f t="shared" si="5"/>
        <v>3</v>
      </c>
      <c r="AV42" s="19">
        <f t="shared" si="15"/>
        <v>2</v>
      </c>
      <c r="AX42"/>
      <c r="AY42">
        <v>1</v>
      </c>
      <c r="AZ42">
        <v>4</v>
      </c>
      <c r="BA42">
        <v>3</v>
      </c>
      <c r="BB42">
        <v>3</v>
      </c>
      <c r="BC42">
        <v>4</v>
      </c>
      <c r="BD42">
        <v>5</v>
      </c>
      <c r="BE42">
        <f t="shared" si="6"/>
        <v>2</v>
      </c>
      <c r="BF42">
        <f t="shared" si="7"/>
        <v>0</v>
      </c>
      <c r="BG42">
        <f t="shared" si="8"/>
        <v>2</v>
      </c>
      <c r="BH42" s="8"/>
      <c r="BI42">
        <v>3</v>
      </c>
      <c r="BJ42">
        <v>6</v>
      </c>
      <c r="BK42">
        <v>3</v>
      </c>
      <c r="BL42">
        <v>1</v>
      </c>
      <c r="BM42">
        <v>3</v>
      </c>
      <c r="BN42">
        <v>4</v>
      </c>
      <c r="BO42">
        <f t="shared" si="9"/>
        <v>8</v>
      </c>
      <c r="BP42">
        <f t="shared" si="10"/>
        <v>1</v>
      </c>
      <c r="BQ42">
        <f t="shared" si="11"/>
        <v>9</v>
      </c>
      <c r="BR42">
        <f t="shared" si="12"/>
        <v>11</v>
      </c>
    </row>
    <row r="43" spans="1:70" ht="30" x14ac:dyDescent="0.25">
      <c r="A43" s="2" t="s">
        <v>33</v>
      </c>
      <c r="B43">
        <v>100</v>
      </c>
      <c r="C43">
        <v>251</v>
      </c>
      <c r="D43" s="2" t="s">
        <v>62</v>
      </c>
      <c r="E43" s="1">
        <v>44475.604617291669</v>
      </c>
      <c r="F43" s="2" t="s">
        <v>63</v>
      </c>
      <c r="G43" s="2" t="s">
        <v>63</v>
      </c>
      <c r="H43" s="2" t="s">
        <v>63</v>
      </c>
      <c r="I43" s="2" t="s">
        <v>63</v>
      </c>
      <c r="J43" s="2" t="s">
        <v>64</v>
      </c>
      <c r="K43" s="2" t="s">
        <v>65</v>
      </c>
      <c r="L43" s="2" t="s">
        <v>74</v>
      </c>
      <c r="M43" s="2" t="s">
        <v>71</v>
      </c>
      <c r="N43" s="2" t="s">
        <v>71</v>
      </c>
      <c r="O43" s="2" t="s">
        <v>67</v>
      </c>
      <c r="P43" s="2" t="s">
        <v>71</v>
      </c>
      <c r="Q43" s="2" t="s">
        <v>71</v>
      </c>
      <c r="R43" s="2" t="s">
        <v>69</v>
      </c>
      <c r="S43">
        <v>2</v>
      </c>
      <c r="T43">
        <v>2</v>
      </c>
      <c r="U43">
        <v>0</v>
      </c>
      <c r="V43">
        <v>6</v>
      </c>
      <c r="W43">
        <v>4</v>
      </c>
      <c r="X43">
        <v>6</v>
      </c>
      <c r="Y43" s="2" t="s">
        <v>68</v>
      </c>
      <c r="Z43">
        <v>2</v>
      </c>
      <c r="AA43">
        <v>2</v>
      </c>
      <c r="AB43">
        <v>1</v>
      </c>
      <c r="AC43">
        <v>4</v>
      </c>
      <c r="AD43">
        <v>5</v>
      </c>
      <c r="AE43">
        <v>6</v>
      </c>
      <c r="AF43" s="10" t="s">
        <v>117</v>
      </c>
      <c r="AG43" s="4"/>
      <c r="AH43" s="8">
        <v>41</v>
      </c>
      <c r="AI43">
        <v>0</v>
      </c>
      <c r="AJ43">
        <v>1</v>
      </c>
      <c r="AK43" s="8" t="s">
        <v>317</v>
      </c>
      <c r="AL43" t="s">
        <v>320</v>
      </c>
      <c r="AM43" t="str">
        <f t="shared" si="13"/>
        <v>Lie</v>
      </c>
      <c r="AN43" s="4"/>
      <c r="AO43">
        <f t="shared" si="0"/>
        <v>3</v>
      </c>
      <c r="AP43">
        <f t="shared" si="1"/>
        <v>2</v>
      </c>
      <c r="AQ43">
        <f t="shared" si="2"/>
        <v>2</v>
      </c>
      <c r="AR43">
        <f t="shared" si="3"/>
        <v>6</v>
      </c>
      <c r="AS43">
        <f t="shared" si="14"/>
        <v>2</v>
      </c>
      <c r="AT43">
        <f t="shared" si="4"/>
        <v>2</v>
      </c>
      <c r="AU43">
        <f t="shared" si="5"/>
        <v>2</v>
      </c>
      <c r="AV43" s="19">
        <f t="shared" si="15"/>
        <v>2.1666666666666665</v>
      </c>
      <c r="AW43" s="4"/>
      <c r="AY43">
        <v>3</v>
      </c>
      <c r="AZ43">
        <v>2</v>
      </c>
      <c r="BA43">
        <v>1</v>
      </c>
      <c r="BB43">
        <v>1</v>
      </c>
      <c r="BC43">
        <v>4</v>
      </c>
      <c r="BD43">
        <v>9</v>
      </c>
      <c r="BE43">
        <f t="shared" si="6"/>
        <v>10</v>
      </c>
      <c r="BF43">
        <f t="shared" si="7"/>
        <v>1</v>
      </c>
      <c r="BG43">
        <f t="shared" si="8"/>
        <v>11</v>
      </c>
      <c r="BI43">
        <v>4</v>
      </c>
      <c r="BJ43">
        <v>2</v>
      </c>
      <c r="BK43">
        <v>1</v>
      </c>
      <c r="BL43">
        <v>1</v>
      </c>
      <c r="BM43">
        <v>4</v>
      </c>
      <c r="BN43">
        <v>8</v>
      </c>
      <c r="BO43">
        <f t="shared" si="9"/>
        <v>8</v>
      </c>
      <c r="BP43">
        <f t="shared" si="10"/>
        <v>1</v>
      </c>
      <c r="BQ43">
        <f t="shared" si="11"/>
        <v>9</v>
      </c>
      <c r="BR43">
        <f t="shared" si="12"/>
        <v>20</v>
      </c>
    </row>
    <row r="44" spans="1:70" ht="60" x14ac:dyDescent="0.25">
      <c r="A44" s="2" t="s">
        <v>33</v>
      </c>
      <c r="B44">
        <v>100</v>
      </c>
      <c r="C44">
        <v>173</v>
      </c>
      <c r="D44" s="2" t="s">
        <v>62</v>
      </c>
      <c r="E44" s="1">
        <v>44475.604653171293</v>
      </c>
      <c r="F44" s="2" t="s">
        <v>63</v>
      </c>
      <c r="G44" s="2" t="s">
        <v>63</v>
      </c>
      <c r="H44" s="2" t="s">
        <v>63</v>
      </c>
      <c r="I44" s="2" t="s">
        <v>63</v>
      </c>
      <c r="J44" s="2" t="s">
        <v>64</v>
      </c>
      <c r="K44" s="2" t="s">
        <v>65</v>
      </c>
      <c r="L44" s="2" t="s">
        <v>71</v>
      </c>
      <c r="M44" s="2" t="s">
        <v>71</v>
      </c>
      <c r="N44" s="2" t="s">
        <v>71</v>
      </c>
      <c r="O44" s="2" t="s">
        <v>75</v>
      </c>
      <c r="P44" s="2" t="s">
        <v>74</v>
      </c>
      <c r="Q44" s="2" t="s">
        <v>74</v>
      </c>
      <c r="R44" s="2" t="s">
        <v>114</v>
      </c>
      <c r="S44">
        <v>6</v>
      </c>
      <c r="T44">
        <v>0</v>
      </c>
      <c r="U44">
        <v>4</v>
      </c>
      <c r="V44">
        <v>4</v>
      </c>
      <c r="W44">
        <v>3</v>
      </c>
      <c r="X44">
        <v>3</v>
      </c>
      <c r="Y44" s="2" t="s">
        <v>69</v>
      </c>
      <c r="Z44">
        <v>1</v>
      </c>
      <c r="AA44">
        <v>4</v>
      </c>
      <c r="AB44">
        <v>2</v>
      </c>
      <c r="AC44">
        <v>6</v>
      </c>
      <c r="AD44">
        <v>4</v>
      </c>
      <c r="AE44">
        <v>3</v>
      </c>
      <c r="AF44" s="10" t="s">
        <v>118</v>
      </c>
      <c r="AG44" s="4"/>
      <c r="AH44" s="8">
        <v>42</v>
      </c>
      <c r="AI44">
        <v>0</v>
      </c>
      <c r="AJ44">
        <v>1</v>
      </c>
      <c r="AK44" s="8" t="s">
        <v>317</v>
      </c>
      <c r="AL44" t="s">
        <v>320</v>
      </c>
      <c r="AM44" t="str">
        <f t="shared" si="13"/>
        <v>Lie</v>
      </c>
      <c r="AN44" s="4"/>
      <c r="AO44">
        <f t="shared" si="0"/>
        <v>2</v>
      </c>
      <c r="AP44">
        <f t="shared" si="1"/>
        <v>2</v>
      </c>
      <c r="AQ44">
        <f t="shared" si="2"/>
        <v>2</v>
      </c>
      <c r="AR44">
        <f t="shared" si="3"/>
        <v>4</v>
      </c>
      <c r="AS44">
        <f t="shared" si="14"/>
        <v>4</v>
      </c>
      <c r="AT44">
        <f t="shared" si="4"/>
        <v>3</v>
      </c>
      <c r="AU44">
        <f t="shared" si="5"/>
        <v>3</v>
      </c>
      <c r="AV44" s="19">
        <f t="shared" si="15"/>
        <v>2.6666666666666665</v>
      </c>
      <c r="AW44" s="4"/>
      <c r="AY44">
        <v>2</v>
      </c>
      <c r="AZ44">
        <v>3</v>
      </c>
      <c r="BA44">
        <v>1</v>
      </c>
      <c r="BB44">
        <v>6</v>
      </c>
      <c r="BC44">
        <v>3</v>
      </c>
      <c r="BD44">
        <v>5</v>
      </c>
      <c r="BE44">
        <f t="shared" si="6"/>
        <v>14</v>
      </c>
      <c r="BF44">
        <f t="shared" si="7"/>
        <v>1</v>
      </c>
      <c r="BG44">
        <f t="shared" si="8"/>
        <v>15</v>
      </c>
      <c r="BI44">
        <v>2</v>
      </c>
      <c r="BJ44">
        <v>4</v>
      </c>
      <c r="BK44">
        <v>1</v>
      </c>
      <c r="BL44">
        <v>5</v>
      </c>
      <c r="BM44">
        <v>3</v>
      </c>
      <c r="BN44">
        <v>5</v>
      </c>
      <c r="BO44">
        <f t="shared" si="9"/>
        <v>6</v>
      </c>
      <c r="BP44">
        <f t="shared" si="10"/>
        <v>0</v>
      </c>
      <c r="BQ44">
        <f t="shared" si="11"/>
        <v>6</v>
      </c>
      <c r="BR44">
        <f t="shared" si="12"/>
        <v>21</v>
      </c>
    </row>
    <row r="45" spans="1:70" ht="60" x14ac:dyDescent="0.25">
      <c r="A45" s="2" t="s">
        <v>33</v>
      </c>
      <c r="B45">
        <v>100</v>
      </c>
      <c r="C45">
        <v>215</v>
      </c>
      <c r="D45" s="2" t="s">
        <v>62</v>
      </c>
      <c r="E45" s="1">
        <v>44475.607295601854</v>
      </c>
      <c r="F45" s="2" t="s">
        <v>63</v>
      </c>
      <c r="G45" s="2" t="s">
        <v>63</v>
      </c>
      <c r="H45" s="2" t="s">
        <v>63</v>
      </c>
      <c r="I45" s="2" t="s">
        <v>63</v>
      </c>
      <c r="J45" s="2" t="s">
        <v>64</v>
      </c>
      <c r="K45" s="2" t="s">
        <v>65</v>
      </c>
      <c r="L45" s="2" t="s">
        <v>71</v>
      </c>
      <c r="M45" s="2" t="s">
        <v>75</v>
      </c>
      <c r="N45" s="2" t="s">
        <v>71</v>
      </c>
      <c r="O45" s="2" t="s">
        <v>74</v>
      </c>
      <c r="P45" s="2" t="s">
        <v>74</v>
      </c>
      <c r="Q45" s="2" t="s">
        <v>74</v>
      </c>
      <c r="R45" s="2" t="s">
        <v>72</v>
      </c>
      <c r="S45">
        <v>5</v>
      </c>
      <c r="T45">
        <v>3</v>
      </c>
      <c r="U45">
        <v>0</v>
      </c>
      <c r="V45">
        <v>4</v>
      </c>
      <c r="W45">
        <v>4</v>
      </c>
      <c r="X45">
        <v>4</v>
      </c>
      <c r="Y45" s="2" t="s">
        <v>69</v>
      </c>
      <c r="Z45">
        <v>3</v>
      </c>
      <c r="AA45">
        <v>2</v>
      </c>
      <c r="AB45">
        <v>2</v>
      </c>
      <c r="AC45">
        <v>4</v>
      </c>
      <c r="AD45">
        <v>5</v>
      </c>
      <c r="AE45">
        <v>4</v>
      </c>
      <c r="AF45" s="10" t="s">
        <v>119</v>
      </c>
      <c r="AG45" s="4"/>
      <c r="AH45" s="8">
        <v>43</v>
      </c>
      <c r="AI45">
        <v>1</v>
      </c>
      <c r="AJ45">
        <v>1</v>
      </c>
      <c r="AK45" s="8" t="s">
        <v>315</v>
      </c>
      <c r="AL45" t="s">
        <v>319</v>
      </c>
      <c r="AM45" t="str">
        <f t="shared" si="13"/>
        <v>Lie</v>
      </c>
      <c r="AN45" s="4"/>
      <c r="AO45">
        <f t="shared" si="0"/>
        <v>2</v>
      </c>
      <c r="AP45">
        <f t="shared" si="1"/>
        <v>4</v>
      </c>
      <c r="AQ45">
        <f t="shared" si="2"/>
        <v>2</v>
      </c>
      <c r="AR45">
        <f t="shared" si="3"/>
        <v>3</v>
      </c>
      <c r="AS45">
        <f t="shared" si="14"/>
        <v>5</v>
      </c>
      <c r="AT45">
        <f t="shared" si="4"/>
        <v>3</v>
      </c>
      <c r="AU45">
        <f t="shared" si="5"/>
        <v>3</v>
      </c>
      <c r="AV45" s="19">
        <f t="shared" si="15"/>
        <v>3.1666666666666665</v>
      </c>
      <c r="AW45" s="4"/>
      <c r="AY45">
        <v>4</v>
      </c>
      <c r="AZ45">
        <v>3</v>
      </c>
      <c r="BA45">
        <v>2</v>
      </c>
      <c r="BB45">
        <v>4</v>
      </c>
      <c r="BC45">
        <v>2</v>
      </c>
      <c r="BD45">
        <v>5</v>
      </c>
      <c r="BE45">
        <f t="shared" si="6"/>
        <v>6</v>
      </c>
      <c r="BF45">
        <f t="shared" si="7"/>
        <v>0</v>
      </c>
      <c r="BG45">
        <f t="shared" si="8"/>
        <v>6</v>
      </c>
      <c r="BI45">
        <v>4</v>
      </c>
      <c r="BJ45">
        <v>4</v>
      </c>
      <c r="BK45">
        <v>1</v>
      </c>
      <c r="BL45">
        <v>4</v>
      </c>
      <c r="BM45">
        <v>2</v>
      </c>
      <c r="BN45">
        <v>5</v>
      </c>
      <c r="BO45">
        <f t="shared" si="9"/>
        <v>8</v>
      </c>
      <c r="BP45">
        <f t="shared" si="10"/>
        <v>0</v>
      </c>
      <c r="BQ45">
        <f t="shared" si="11"/>
        <v>8</v>
      </c>
      <c r="BR45">
        <f t="shared" si="12"/>
        <v>14</v>
      </c>
    </row>
    <row r="46" spans="1:70" ht="30" x14ac:dyDescent="0.25">
      <c r="A46" s="2" t="s">
        <v>33</v>
      </c>
      <c r="B46">
        <v>100</v>
      </c>
      <c r="C46">
        <v>262</v>
      </c>
      <c r="D46" s="2" t="s">
        <v>62</v>
      </c>
      <c r="E46" s="1">
        <v>44475.623640289348</v>
      </c>
      <c r="F46" s="2" t="s">
        <v>63</v>
      </c>
      <c r="G46" s="2" t="s">
        <v>63</v>
      </c>
      <c r="H46" s="2" t="s">
        <v>63</v>
      </c>
      <c r="I46" s="2" t="s">
        <v>63</v>
      </c>
      <c r="J46" s="2" t="s">
        <v>64</v>
      </c>
      <c r="K46" s="2" t="s">
        <v>65</v>
      </c>
      <c r="L46" s="2" t="s">
        <v>71</v>
      </c>
      <c r="M46" s="2" t="s">
        <v>71</v>
      </c>
      <c r="N46" s="2" t="s">
        <v>71</v>
      </c>
      <c r="O46" s="2" t="s">
        <v>67</v>
      </c>
      <c r="P46" s="2" t="s">
        <v>71</v>
      </c>
      <c r="Q46" s="2" t="s">
        <v>71</v>
      </c>
      <c r="R46" s="2" t="s">
        <v>72</v>
      </c>
      <c r="S46">
        <v>4</v>
      </c>
      <c r="T46">
        <v>4</v>
      </c>
      <c r="U46">
        <v>4</v>
      </c>
      <c r="V46">
        <v>4</v>
      </c>
      <c r="W46">
        <v>2</v>
      </c>
      <c r="X46">
        <v>2</v>
      </c>
      <c r="Y46" s="2" t="s">
        <v>72</v>
      </c>
      <c r="Z46">
        <v>4</v>
      </c>
      <c r="AA46">
        <v>4</v>
      </c>
      <c r="AB46">
        <v>4</v>
      </c>
      <c r="AC46">
        <v>4</v>
      </c>
      <c r="AD46">
        <v>2</v>
      </c>
      <c r="AE46">
        <v>2</v>
      </c>
      <c r="AF46" s="10" t="s">
        <v>120</v>
      </c>
      <c r="AG46" s="4"/>
      <c r="AH46" s="8">
        <v>44</v>
      </c>
      <c r="AI46">
        <v>0</v>
      </c>
      <c r="AJ46">
        <v>4</v>
      </c>
      <c r="AK46" s="8" t="s">
        <v>315</v>
      </c>
      <c r="AL46" t="s">
        <v>319</v>
      </c>
      <c r="AM46" t="str">
        <f t="shared" si="13"/>
        <v>Lie</v>
      </c>
      <c r="AN46" s="4"/>
      <c r="AO46">
        <f t="shared" si="0"/>
        <v>2</v>
      </c>
      <c r="AP46">
        <f t="shared" si="1"/>
        <v>2</v>
      </c>
      <c r="AQ46">
        <f t="shared" si="2"/>
        <v>2</v>
      </c>
      <c r="AR46">
        <f t="shared" si="3"/>
        <v>6</v>
      </c>
      <c r="AS46">
        <f t="shared" si="14"/>
        <v>2</v>
      </c>
      <c r="AT46">
        <f t="shared" si="4"/>
        <v>2</v>
      </c>
      <c r="AU46">
        <f t="shared" si="5"/>
        <v>2</v>
      </c>
      <c r="AV46" s="19">
        <f t="shared" si="15"/>
        <v>2</v>
      </c>
      <c r="AW46" s="4"/>
      <c r="AY46">
        <v>3</v>
      </c>
      <c r="AZ46">
        <v>8</v>
      </c>
      <c r="BA46">
        <v>1</v>
      </c>
      <c r="BB46">
        <v>2</v>
      </c>
      <c r="BC46">
        <v>3</v>
      </c>
      <c r="BD46">
        <v>3</v>
      </c>
      <c r="BE46">
        <f t="shared" si="6"/>
        <v>12</v>
      </c>
      <c r="BF46">
        <f t="shared" si="7"/>
        <v>0</v>
      </c>
      <c r="BG46">
        <f t="shared" si="8"/>
        <v>12</v>
      </c>
      <c r="BI46">
        <v>4</v>
      </c>
      <c r="BJ46">
        <v>8</v>
      </c>
      <c r="BK46">
        <v>0</v>
      </c>
      <c r="BL46">
        <v>2</v>
      </c>
      <c r="BM46">
        <v>3</v>
      </c>
      <c r="BN46">
        <v>3</v>
      </c>
      <c r="BO46">
        <f t="shared" si="9"/>
        <v>12</v>
      </c>
      <c r="BP46">
        <f t="shared" si="10"/>
        <v>1</v>
      </c>
      <c r="BQ46">
        <f t="shared" si="11"/>
        <v>13</v>
      </c>
      <c r="BR46">
        <f t="shared" si="12"/>
        <v>25</v>
      </c>
    </row>
    <row r="47" spans="1:70" ht="30" x14ac:dyDescent="0.25">
      <c r="A47" s="2" t="s">
        <v>33</v>
      </c>
      <c r="B47">
        <v>100</v>
      </c>
      <c r="C47">
        <v>300</v>
      </c>
      <c r="D47" s="2" t="s">
        <v>62</v>
      </c>
      <c r="E47" s="1">
        <v>44475.63894478009</v>
      </c>
      <c r="F47" s="2" t="s">
        <v>63</v>
      </c>
      <c r="G47" s="2" t="s">
        <v>63</v>
      </c>
      <c r="H47" s="2" t="s">
        <v>63</v>
      </c>
      <c r="I47" s="2" t="s">
        <v>63</v>
      </c>
      <c r="J47" s="2" t="s">
        <v>64</v>
      </c>
      <c r="K47" s="2" t="s">
        <v>65</v>
      </c>
      <c r="L47" s="2" t="s">
        <v>66</v>
      </c>
      <c r="M47" s="2" t="s">
        <v>74</v>
      </c>
      <c r="N47" s="2" t="s">
        <v>66</v>
      </c>
      <c r="O47" s="2" t="s">
        <v>67</v>
      </c>
      <c r="P47" s="2" t="s">
        <v>71</v>
      </c>
      <c r="Q47" s="2" t="s">
        <v>74</v>
      </c>
      <c r="R47" s="2" t="s">
        <v>69</v>
      </c>
      <c r="S47">
        <v>3</v>
      </c>
      <c r="T47">
        <v>2</v>
      </c>
      <c r="U47">
        <v>2</v>
      </c>
      <c r="V47">
        <v>3</v>
      </c>
      <c r="W47">
        <v>5</v>
      </c>
      <c r="X47">
        <v>5</v>
      </c>
      <c r="Y47" s="2" t="s">
        <v>69</v>
      </c>
      <c r="Z47">
        <v>4</v>
      </c>
      <c r="AA47">
        <v>3</v>
      </c>
      <c r="AB47">
        <v>3</v>
      </c>
      <c r="AC47">
        <v>3</v>
      </c>
      <c r="AD47">
        <v>3</v>
      </c>
      <c r="AE47">
        <v>4</v>
      </c>
      <c r="AF47" s="10" t="s">
        <v>121</v>
      </c>
      <c r="AG47" s="4"/>
      <c r="AH47" s="8">
        <v>45</v>
      </c>
      <c r="AI47">
        <v>0</v>
      </c>
      <c r="AJ47">
        <v>0</v>
      </c>
      <c r="AK47" s="8" t="s">
        <v>315</v>
      </c>
      <c r="AL47" t="s">
        <v>316</v>
      </c>
      <c r="AM47" t="str">
        <f t="shared" si="13"/>
        <v>Honest</v>
      </c>
      <c r="AN47" s="4"/>
      <c r="AO47">
        <f t="shared" si="0"/>
        <v>1</v>
      </c>
      <c r="AP47">
        <f t="shared" si="1"/>
        <v>3</v>
      </c>
      <c r="AQ47">
        <f t="shared" si="2"/>
        <v>1</v>
      </c>
      <c r="AR47">
        <f t="shared" si="3"/>
        <v>6</v>
      </c>
      <c r="AS47">
        <f t="shared" si="14"/>
        <v>2</v>
      </c>
      <c r="AT47">
        <f t="shared" si="4"/>
        <v>2</v>
      </c>
      <c r="AU47">
        <f t="shared" si="5"/>
        <v>3</v>
      </c>
      <c r="AV47" s="19">
        <f t="shared" si="15"/>
        <v>2</v>
      </c>
      <c r="AW47" s="4"/>
      <c r="AY47">
        <v>3</v>
      </c>
      <c r="AZ47">
        <v>6</v>
      </c>
      <c r="BA47">
        <v>2</v>
      </c>
      <c r="BB47">
        <v>3</v>
      </c>
      <c r="BC47">
        <v>1</v>
      </c>
      <c r="BD47">
        <v>5</v>
      </c>
      <c r="BE47">
        <f t="shared" si="6"/>
        <v>8</v>
      </c>
      <c r="BF47">
        <f t="shared" si="7"/>
        <v>1</v>
      </c>
      <c r="BG47">
        <f t="shared" si="8"/>
        <v>9</v>
      </c>
      <c r="BI47">
        <v>3</v>
      </c>
      <c r="BJ47">
        <v>6</v>
      </c>
      <c r="BK47">
        <v>2</v>
      </c>
      <c r="BL47">
        <v>3</v>
      </c>
      <c r="BM47">
        <v>1</v>
      </c>
      <c r="BN47">
        <v>5</v>
      </c>
      <c r="BO47">
        <f t="shared" si="9"/>
        <v>8</v>
      </c>
      <c r="BP47">
        <f t="shared" si="10"/>
        <v>0</v>
      </c>
      <c r="BQ47">
        <f t="shared" si="11"/>
        <v>8</v>
      </c>
      <c r="BR47">
        <f t="shared" si="12"/>
        <v>17</v>
      </c>
    </row>
    <row r="48" spans="1:70" ht="45" x14ac:dyDescent="0.25">
      <c r="A48" s="2" t="s">
        <v>33</v>
      </c>
      <c r="B48">
        <v>100</v>
      </c>
      <c r="C48">
        <v>236</v>
      </c>
      <c r="D48" s="2" t="s">
        <v>62</v>
      </c>
      <c r="E48" s="1">
        <v>44475.684909930555</v>
      </c>
      <c r="F48" s="2" t="s">
        <v>63</v>
      </c>
      <c r="G48" s="2" t="s">
        <v>63</v>
      </c>
      <c r="H48" s="2" t="s">
        <v>63</v>
      </c>
      <c r="I48" s="2" t="s">
        <v>63</v>
      </c>
      <c r="J48" s="2" t="s">
        <v>64</v>
      </c>
      <c r="K48" s="2" t="s">
        <v>65</v>
      </c>
      <c r="L48" s="2" t="s">
        <v>71</v>
      </c>
      <c r="M48" s="2" t="s">
        <v>74</v>
      </c>
      <c r="N48" s="2" t="s">
        <v>66</v>
      </c>
      <c r="O48" s="2" t="s">
        <v>81</v>
      </c>
      <c r="P48" s="2" t="s">
        <v>71</v>
      </c>
      <c r="Q48" s="2" t="s">
        <v>71</v>
      </c>
      <c r="R48" s="2" t="s">
        <v>69</v>
      </c>
      <c r="S48">
        <v>3</v>
      </c>
      <c r="T48">
        <v>6</v>
      </c>
      <c r="U48">
        <v>3</v>
      </c>
      <c r="V48">
        <v>3</v>
      </c>
      <c r="W48">
        <v>3</v>
      </c>
      <c r="X48">
        <v>2</v>
      </c>
      <c r="Y48" s="2" t="s">
        <v>69</v>
      </c>
      <c r="Z48">
        <v>2</v>
      </c>
      <c r="AA48">
        <v>6</v>
      </c>
      <c r="AB48">
        <v>5</v>
      </c>
      <c r="AC48">
        <v>3</v>
      </c>
      <c r="AD48">
        <v>3</v>
      </c>
      <c r="AE48">
        <v>1</v>
      </c>
      <c r="AF48" s="10" t="s">
        <v>122</v>
      </c>
      <c r="AG48" s="4"/>
      <c r="AH48" s="8">
        <v>46</v>
      </c>
      <c r="AI48">
        <v>0</v>
      </c>
      <c r="AJ48">
        <v>0</v>
      </c>
      <c r="AK48" s="8" t="s">
        <v>317</v>
      </c>
      <c r="AL48" t="s">
        <v>318</v>
      </c>
      <c r="AM48" t="str">
        <f t="shared" si="13"/>
        <v>Honest</v>
      </c>
      <c r="AN48" s="4"/>
      <c r="AO48">
        <f t="shared" si="0"/>
        <v>2</v>
      </c>
      <c r="AP48">
        <f t="shared" si="1"/>
        <v>3</v>
      </c>
      <c r="AQ48">
        <f t="shared" si="2"/>
        <v>1</v>
      </c>
      <c r="AR48">
        <f t="shared" si="3"/>
        <v>5</v>
      </c>
      <c r="AS48">
        <f t="shared" si="14"/>
        <v>3</v>
      </c>
      <c r="AT48">
        <f t="shared" si="4"/>
        <v>2</v>
      </c>
      <c r="AU48">
        <f t="shared" si="5"/>
        <v>2</v>
      </c>
      <c r="AV48" s="19">
        <f t="shared" si="15"/>
        <v>2.1666666666666665</v>
      </c>
      <c r="AW48" s="4"/>
      <c r="AY48">
        <v>7</v>
      </c>
      <c r="AZ48">
        <v>3</v>
      </c>
      <c r="BA48">
        <v>4</v>
      </c>
      <c r="BB48">
        <v>2</v>
      </c>
      <c r="BC48">
        <v>1</v>
      </c>
      <c r="BD48">
        <v>3</v>
      </c>
      <c r="BE48">
        <f t="shared" si="6"/>
        <v>12</v>
      </c>
      <c r="BF48">
        <f t="shared" si="7"/>
        <v>1</v>
      </c>
      <c r="BG48">
        <f t="shared" si="8"/>
        <v>13</v>
      </c>
      <c r="BI48">
        <v>7</v>
      </c>
      <c r="BJ48">
        <v>3</v>
      </c>
      <c r="BK48">
        <v>4</v>
      </c>
      <c r="BL48">
        <v>2</v>
      </c>
      <c r="BM48">
        <v>1</v>
      </c>
      <c r="BN48">
        <v>3</v>
      </c>
      <c r="BO48">
        <f t="shared" si="9"/>
        <v>14</v>
      </c>
      <c r="BP48">
        <f t="shared" si="10"/>
        <v>0</v>
      </c>
      <c r="BQ48">
        <f t="shared" si="11"/>
        <v>14</v>
      </c>
      <c r="BR48">
        <f t="shared" si="12"/>
        <v>27</v>
      </c>
    </row>
    <row r="49" spans="1:70" ht="45" x14ac:dyDescent="0.25">
      <c r="A49" s="2" t="s">
        <v>33</v>
      </c>
      <c r="B49">
        <v>100</v>
      </c>
      <c r="C49">
        <v>456</v>
      </c>
      <c r="D49" s="2" t="s">
        <v>62</v>
      </c>
      <c r="E49" s="1">
        <v>44476.045163518516</v>
      </c>
      <c r="F49" s="2" t="s">
        <v>63</v>
      </c>
      <c r="G49" s="2" t="s">
        <v>63</v>
      </c>
      <c r="H49" s="2" t="s">
        <v>63</v>
      </c>
      <c r="I49" s="2" t="s">
        <v>63</v>
      </c>
      <c r="J49" s="2" t="s">
        <v>64</v>
      </c>
      <c r="K49" s="2" t="s">
        <v>65</v>
      </c>
      <c r="L49" s="2" t="s">
        <v>66</v>
      </c>
      <c r="M49" s="2" t="s">
        <v>81</v>
      </c>
      <c r="N49" s="2" t="s">
        <v>66</v>
      </c>
      <c r="O49" s="2" t="s">
        <v>81</v>
      </c>
      <c r="P49" s="2" t="s">
        <v>81</v>
      </c>
      <c r="Q49" s="2" t="s">
        <v>71</v>
      </c>
      <c r="R49" s="2" t="s">
        <v>72</v>
      </c>
      <c r="S49">
        <v>4</v>
      </c>
      <c r="T49">
        <v>3</v>
      </c>
      <c r="U49">
        <v>3</v>
      </c>
      <c r="V49">
        <v>4</v>
      </c>
      <c r="W49">
        <v>2</v>
      </c>
      <c r="X49">
        <v>4</v>
      </c>
      <c r="Y49" s="2" t="s">
        <v>68</v>
      </c>
      <c r="Z49">
        <v>3</v>
      </c>
      <c r="AA49">
        <v>4</v>
      </c>
      <c r="AB49">
        <v>2</v>
      </c>
      <c r="AC49">
        <v>3</v>
      </c>
      <c r="AD49">
        <v>4</v>
      </c>
      <c r="AE49">
        <v>4</v>
      </c>
      <c r="AF49" s="10" t="s">
        <v>123</v>
      </c>
      <c r="AG49" s="4"/>
      <c r="AH49" s="8">
        <v>47</v>
      </c>
      <c r="AI49">
        <v>0</v>
      </c>
      <c r="AJ49">
        <v>0</v>
      </c>
      <c r="AK49" s="8" t="s">
        <v>315</v>
      </c>
      <c r="AL49" t="s">
        <v>316</v>
      </c>
      <c r="AM49" t="str">
        <f t="shared" si="13"/>
        <v>Honest</v>
      </c>
      <c r="AN49" s="4"/>
      <c r="AO49">
        <f t="shared" si="0"/>
        <v>1</v>
      </c>
      <c r="AP49">
        <f t="shared" si="1"/>
        <v>5</v>
      </c>
      <c r="AQ49">
        <f t="shared" si="2"/>
        <v>1</v>
      </c>
      <c r="AR49">
        <f t="shared" si="3"/>
        <v>5</v>
      </c>
      <c r="AS49">
        <f t="shared" si="14"/>
        <v>3</v>
      </c>
      <c r="AT49">
        <f t="shared" si="4"/>
        <v>5</v>
      </c>
      <c r="AU49">
        <f t="shared" si="5"/>
        <v>2</v>
      </c>
      <c r="AV49" s="19">
        <f t="shared" si="15"/>
        <v>2.8333333333333335</v>
      </c>
      <c r="AW49" s="4"/>
      <c r="AY49">
        <v>3</v>
      </c>
      <c r="AZ49">
        <v>5</v>
      </c>
      <c r="BA49">
        <v>4</v>
      </c>
      <c r="BB49">
        <v>4</v>
      </c>
      <c r="BC49">
        <v>2</v>
      </c>
      <c r="BD49">
        <v>2</v>
      </c>
      <c r="BE49">
        <f t="shared" si="6"/>
        <v>6</v>
      </c>
      <c r="BF49">
        <f t="shared" si="7"/>
        <v>0</v>
      </c>
      <c r="BG49">
        <f t="shared" si="8"/>
        <v>6</v>
      </c>
      <c r="BI49">
        <v>3</v>
      </c>
      <c r="BJ49">
        <v>5</v>
      </c>
      <c r="BK49">
        <v>4</v>
      </c>
      <c r="BL49">
        <v>4</v>
      </c>
      <c r="BM49">
        <v>2</v>
      </c>
      <c r="BN49">
        <v>2</v>
      </c>
      <c r="BO49">
        <f t="shared" si="9"/>
        <v>8</v>
      </c>
      <c r="BP49">
        <f t="shared" si="10"/>
        <v>1</v>
      </c>
      <c r="BQ49">
        <f t="shared" si="11"/>
        <v>9</v>
      </c>
      <c r="BR49">
        <f t="shared" si="12"/>
        <v>15</v>
      </c>
    </row>
    <row r="50" spans="1:70" ht="60" x14ac:dyDescent="0.25">
      <c r="A50" s="2" t="s">
        <v>33</v>
      </c>
      <c r="B50">
        <v>100</v>
      </c>
      <c r="C50">
        <v>277</v>
      </c>
      <c r="D50" s="2" t="s">
        <v>62</v>
      </c>
      <c r="E50" s="1">
        <v>44476.054794386575</v>
      </c>
      <c r="F50" s="2" t="s">
        <v>63</v>
      </c>
      <c r="G50" s="2" t="s">
        <v>63</v>
      </c>
      <c r="H50" s="2" t="s">
        <v>63</v>
      </c>
      <c r="I50" s="2" t="s">
        <v>63</v>
      </c>
      <c r="J50" s="2" t="s">
        <v>64</v>
      </c>
      <c r="K50" s="2" t="s">
        <v>65</v>
      </c>
      <c r="L50" s="2" t="s">
        <v>66</v>
      </c>
      <c r="M50" s="2" t="s">
        <v>75</v>
      </c>
      <c r="N50" s="2" t="s">
        <v>66</v>
      </c>
      <c r="O50" s="2" t="s">
        <v>71</v>
      </c>
      <c r="P50" s="2" t="s">
        <v>75</v>
      </c>
      <c r="Q50" s="2" t="s">
        <v>81</v>
      </c>
      <c r="R50" s="2" t="s">
        <v>72</v>
      </c>
      <c r="S50">
        <v>5</v>
      </c>
      <c r="T50">
        <v>4</v>
      </c>
      <c r="U50">
        <v>2</v>
      </c>
      <c r="V50">
        <v>2</v>
      </c>
      <c r="W50">
        <v>4</v>
      </c>
      <c r="X50">
        <v>3</v>
      </c>
      <c r="Y50" s="2" t="s">
        <v>72</v>
      </c>
      <c r="Z50">
        <v>5</v>
      </c>
      <c r="AA50">
        <v>4</v>
      </c>
      <c r="AB50">
        <v>2</v>
      </c>
      <c r="AC50">
        <v>2</v>
      </c>
      <c r="AD50">
        <v>3</v>
      </c>
      <c r="AE50">
        <v>4</v>
      </c>
      <c r="AF50" s="10" t="s">
        <v>124</v>
      </c>
      <c r="AG50" s="4"/>
      <c r="AH50" s="8">
        <v>48</v>
      </c>
      <c r="AI50">
        <v>0</v>
      </c>
      <c r="AJ50">
        <v>3</v>
      </c>
      <c r="AK50" s="8" t="s">
        <v>315</v>
      </c>
      <c r="AL50" t="s">
        <v>319</v>
      </c>
      <c r="AM50" t="str">
        <f t="shared" si="13"/>
        <v>Lie</v>
      </c>
      <c r="AN50" s="4"/>
      <c r="AO50">
        <f t="shared" si="0"/>
        <v>1</v>
      </c>
      <c r="AP50">
        <f t="shared" si="1"/>
        <v>4</v>
      </c>
      <c r="AQ50">
        <f t="shared" si="2"/>
        <v>1</v>
      </c>
      <c r="AR50">
        <f t="shared" si="3"/>
        <v>2</v>
      </c>
      <c r="AS50">
        <f t="shared" si="14"/>
        <v>6</v>
      </c>
      <c r="AT50">
        <f t="shared" si="4"/>
        <v>4</v>
      </c>
      <c r="AU50">
        <f t="shared" si="5"/>
        <v>5</v>
      </c>
      <c r="AV50" s="19">
        <f t="shared" si="15"/>
        <v>3.5</v>
      </c>
      <c r="AW50" s="4"/>
      <c r="AY50">
        <v>7</v>
      </c>
      <c r="AZ50">
        <v>4</v>
      </c>
      <c r="BA50">
        <v>2</v>
      </c>
      <c r="BB50">
        <v>2</v>
      </c>
      <c r="BC50">
        <v>3</v>
      </c>
      <c r="BD50">
        <v>2</v>
      </c>
      <c r="BE50">
        <f t="shared" si="6"/>
        <v>4</v>
      </c>
      <c r="BF50">
        <f t="shared" si="7"/>
        <v>0</v>
      </c>
      <c r="BG50">
        <f t="shared" si="8"/>
        <v>4</v>
      </c>
      <c r="BI50">
        <v>6</v>
      </c>
      <c r="BJ50">
        <v>3</v>
      </c>
      <c r="BK50">
        <v>2</v>
      </c>
      <c r="BL50">
        <v>2</v>
      </c>
      <c r="BM50">
        <v>4</v>
      </c>
      <c r="BN50">
        <v>3</v>
      </c>
      <c r="BO50">
        <f t="shared" si="9"/>
        <v>4</v>
      </c>
      <c r="BP50">
        <f t="shared" si="10"/>
        <v>1</v>
      </c>
      <c r="BQ50">
        <f t="shared" si="11"/>
        <v>5</v>
      </c>
      <c r="BR50">
        <f t="shared" si="12"/>
        <v>9</v>
      </c>
    </row>
    <row r="51" spans="1:70" ht="30" x14ac:dyDescent="0.25">
      <c r="A51" s="2" t="s">
        <v>33</v>
      </c>
      <c r="B51">
        <v>100</v>
      </c>
      <c r="C51">
        <v>349</v>
      </c>
      <c r="D51" s="2" t="s">
        <v>62</v>
      </c>
      <c r="E51" s="1">
        <v>44476.073268043983</v>
      </c>
      <c r="F51" s="2" t="s">
        <v>63</v>
      </c>
      <c r="G51" s="2" t="s">
        <v>63</v>
      </c>
      <c r="H51" s="2" t="s">
        <v>63</v>
      </c>
      <c r="I51" s="2" t="s">
        <v>63</v>
      </c>
      <c r="J51" s="2" t="s">
        <v>64</v>
      </c>
      <c r="K51" s="2" t="s">
        <v>65</v>
      </c>
      <c r="L51" s="2" t="s">
        <v>66</v>
      </c>
      <c r="M51" s="2" t="s">
        <v>66</v>
      </c>
      <c r="N51" s="2" t="s">
        <v>66</v>
      </c>
      <c r="O51" s="2" t="s">
        <v>78</v>
      </c>
      <c r="P51" s="2" t="s">
        <v>71</v>
      </c>
      <c r="Q51" s="2" t="s">
        <v>71</v>
      </c>
      <c r="R51" s="2" t="s">
        <v>72</v>
      </c>
      <c r="S51">
        <v>1</v>
      </c>
      <c r="T51">
        <v>3</v>
      </c>
      <c r="U51">
        <v>3</v>
      </c>
      <c r="V51">
        <v>5</v>
      </c>
      <c r="W51">
        <v>4</v>
      </c>
      <c r="X51">
        <v>4</v>
      </c>
      <c r="Y51" s="2" t="s">
        <v>72</v>
      </c>
      <c r="Z51">
        <v>1</v>
      </c>
      <c r="AA51">
        <v>3</v>
      </c>
      <c r="AB51">
        <v>4</v>
      </c>
      <c r="AC51">
        <v>4</v>
      </c>
      <c r="AD51">
        <v>3</v>
      </c>
      <c r="AE51">
        <v>5</v>
      </c>
      <c r="AF51" s="10" t="s">
        <v>125</v>
      </c>
      <c r="AG51" s="4"/>
      <c r="AH51" s="8">
        <v>49</v>
      </c>
      <c r="AI51">
        <v>0</v>
      </c>
      <c r="AJ51">
        <v>0</v>
      </c>
      <c r="AK51" s="8" t="s">
        <v>317</v>
      </c>
      <c r="AL51" t="s">
        <v>318</v>
      </c>
      <c r="AM51" t="str">
        <f t="shared" si="13"/>
        <v>Honest</v>
      </c>
      <c r="AN51" s="4"/>
      <c r="AO51">
        <f t="shared" si="0"/>
        <v>1</v>
      </c>
      <c r="AP51">
        <f t="shared" si="1"/>
        <v>1</v>
      </c>
      <c r="AQ51">
        <f t="shared" si="2"/>
        <v>1</v>
      </c>
      <c r="AR51">
        <f t="shared" si="3"/>
        <v>7</v>
      </c>
      <c r="AS51">
        <f t="shared" si="14"/>
        <v>1</v>
      </c>
      <c r="AT51">
        <f t="shared" si="4"/>
        <v>2</v>
      </c>
      <c r="AU51">
        <f t="shared" si="5"/>
        <v>2</v>
      </c>
      <c r="AV51" s="19">
        <f t="shared" si="15"/>
        <v>1.3333333333333333</v>
      </c>
      <c r="AW51" s="4"/>
      <c r="AY51">
        <v>3</v>
      </c>
      <c r="AZ51">
        <v>3</v>
      </c>
      <c r="BA51">
        <v>5</v>
      </c>
      <c r="BB51">
        <v>4</v>
      </c>
      <c r="BC51">
        <v>0</v>
      </c>
      <c r="BD51">
        <v>5</v>
      </c>
      <c r="BE51">
        <f t="shared" si="6"/>
        <v>10</v>
      </c>
      <c r="BF51">
        <f t="shared" si="7"/>
        <v>0</v>
      </c>
      <c r="BG51">
        <f t="shared" si="8"/>
        <v>10</v>
      </c>
      <c r="BI51">
        <v>3</v>
      </c>
      <c r="BJ51">
        <v>3</v>
      </c>
      <c r="BK51">
        <v>5</v>
      </c>
      <c r="BL51">
        <v>4</v>
      </c>
      <c r="BM51">
        <v>0</v>
      </c>
      <c r="BN51">
        <v>5</v>
      </c>
      <c r="BO51">
        <f t="shared" si="9"/>
        <v>6</v>
      </c>
      <c r="BP51">
        <f t="shared" si="10"/>
        <v>1</v>
      </c>
      <c r="BQ51">
        <f t="shared" si="11"/>
        <v>7</v>
      </c>
      <c r="BR51">
        <f t="shared" si="12"/>
        <v>17</v>
      </c>
    </row>
    <row r="52" spans="1:70" ht="60" x14ac:dyDescent="0.25">
      <c r="A52" s="2" t="s">
        <v>33</v>
      </c>
      <c r="B52">
        <v>100</v>
      </c>
      <c r="C52">
        <v>197</v>
      </c>
      <c r="D52" s="2" t="s">
        <v>62</v>
      </c>
      <c r="E52" s="1">
        <v>44476.099854143518</v>
      </c>
      <c r="F52" s="2" t="s">
        <v>63</v>
      </c>
      <c r="G52" s="2" t="s">
        <v>63</v>
      </c>
      <c r="H52" s="2" t="s">
        <v>63</v>
      </c>
      <c r="I52" s="2" t="s">
        <v>63</v>
      </c>
      <c r="J52" s="2" t="s">
        <v>64</v>
      </c>
      <c r="K52" s="2" t="s">
        <v>65</v>
      </c>
      <c r="L52" s="2" t="s">
        <v>66</v>
      </c>
      <c r="M52" s="2" t="s">
        <v>71</v>
      </c>
      <c r="N52" s="2" t="s">
        <v>71</v>
      </c>
      <c r="O52" s="2" t="s">
        <v>75</v>
      </c>
      <c r="P52" s="2" t="s">
        <v>71</v>
      </c>
      <c r="Q52" s="2" t="s">
        <v>71</v>
      </c>
      <c r="R52" s="2" t="s">
        <v>69</v>
      </c>
      <c r="S52">
        <v>5</v>
      </c>
      <c r="T52">
        <v>6</v>
      </c>
      <c r="U52">
        <v>2</v>
      </c>
      <c r="V52">
        <v>1</v>
      </c>
      <c r="W52">
        <v>2</v>
      </c>
      <c r="X52">
        <v>4</v>
      </c>
      <c r="Y52" s="2" t="s">
        <v>68</v>
      </c>
      <c r="Z52">
        <v>5</v>
      </c>
      <c r="AA52">
        <v>6</v>
      </c>
      <c r="AB52">
        <v>2</v>
      </c>
      <c r="AC52">
        <v>2</v>
      </c>
      <c r="AD52">
        <v>2</v>
      </c>
      <c r="AE52">
        <v>3</v>
      </c>
      <c r="AF52" s="10" t="s">
        <v>126</v>
      </c>
      <c r="AG52" s="4"/>
      <c r="AH52" s="8">
        <v>50</v>
      </c>
      <c r="AI52">
        <v>0</v>
      </c>
      <c r="AJ52">
        <v>0</v>
      </c>
      <c r="AK52" s="8" t="s">
        <v>315</v>
      </c>
      <c r="AL52" t="s">
        <v>316</v>
      </c>
      <c r="AM52" t="str">
        <f t="shared" si="13"/>
        <v>Honest</v>
      </c>
      <c r="AN52" s="4"/>
      <c r="AO52">
        <f t="shared" si="0"/>
        <v>1</v>
      </c>
      <c r="AP52">
        <f t="shared" si="1"/>
        <v>2</v>
      </c>
      <c r="AQ52">
        <f t="shared" si="2"/>
        <v>2</v>
      </c>
      <c r="AR52">
        <f t="shared" si="3"/>
        <v>4</v>
      </c>
      <c r="AS52">
        <f t="shared" si="14"/>
        <v>4</v>
      </c>
      <c r="AT52">
        <f t="shared" si="4"/>
        <v>2</v>
      </c>
      <c r="AU52">
        <f t="shared" si="5"/>
        <v>2</v>
      </c>
      <c r="AV52" s="19">
        <f t="shared" si="15"/>
        <v>2.1666666666666665</v>
      </c>
      <c r="AW52" s="4"/>
      <c r="AY52">
        <v>3</v>
      </c>
      <c r="AZ52">
        <v>6</v>
      </c>
      <c r="BA52">
        <v>3</v>
      </c>
      <c r="BB52">
        <v>3</v>
      </c>
      <c r="BC52">
        <v>3</v>
      </c>
      <c r="BD52">
        <v>2</v>
      </c>
      <c r="BE52">
        <f t="shared" si="6"/>
        <v>8</v>
      </c>
      <c r="BF52">
        <f t="shared" si="7"/>
        <v>1</v>
      </c>
      <c r="BG52">
        <f t="shared" si="8"/>
        <v>9</v>
      </c>
      <c r="BI52">
        <v>3</v>
      </c>
      <c r="BJ52">
        <v>6</v>
      </c>
      <c r="BK52">
        <v>3</v>
      </c>
      <c r="BL52">
        <v>3</v>
      </c>
      <c r="BM52">
        <v>3</v>
      </c>
      <c r="BN52">
        <v>2</v>
      </c>
      <c r="BO52">
        <f t="shared" si="9"/>
        <v>6</v>
      </c>
      <c r="BP52">
        <f t="shared" si="10"/>
        <v>1</v>
      </c>
      <c r="BQ52">
        <f t="shared" si="11"/>
        <v>7</v>
      </c>
      <c r="BR52">
        <f t="shared" si="12"/>
        <v>16</v>
      </c>
    </row>
    <row r="53" spans="1:70" ht="30" x14ac:dyDescent="0.25">
      <c r="A53" s="2" t="s">
        <v>33</v>
      </c>
      <c r="B53">
        <v>100</v>
      </c>
      <c r="C53">
        <v>483</v>
      </c>
      <c r="D53" s="2" t="s">
        <v>62</v>
      </c>
      <c r="E53" s="1">
        <v>44476.106197187502</v>
      </c>
      <c r="F53" s="2" t="s">
        <v>63</v>
      </c>
      <c r="G53" s="2" t="s">
        <v>63</v>
      </c>
      <c r="H53" s="2" t="s">
        <v>63</v>
      </c>
      <c r="I53" s="2" t="s">
        <v>63</v>
      </c>
      <c r="J53" s="2" t="s">
        <v>64</v>
      </c>
      <c r="K53" s="2" t="s">
        <v>65</v>
      </c>
      <c r="L53" s="2" t="s">
        <v>66</v>
      </c>
      <c r="M53" s="2" t="s">
        <v>71</v>
      </c>
      <c r="N53" s="2" t="s">
        <v>71</v>
      </c>
      <c r="O53" s="2" t="s">
        <v>67</v>
      </c>
      <c r="P53" s="2" t="s">
        <v>71</v>
      </c>
      <c r="Q53" s="2" t="s">
        <v>71</v>
      </c>
      <c r="R53" s="2" t="s">
        <v>72</v>
      </c>
      <c r="S53">
        <v>4</v>
      </c>
      <c r="T53">
        <v>4</v>
      </c>
      <c r="U53">
        <v>2</v>
      </c>
      <c r="V53">
        <v>4</v>
      </c>
      <c r="W53">
        <v>2</v>
      </c>
      <c r="X53">
        <v>4</v>
      </c>
      <c r="Y53" s="2" t="s">
        <v>68</v>
      </c>
      <c r="Z53">
        <v>3</v>
      </c>
      <c r="AA53">
        <v>4</v>
      </c>
      <c r="AB53">
        <v>3</v>
      </c>
      <c r="AC53">
        <v>3</v>
      </c>
      <c r="AD53">
        <v>4</v>
      </c>
      <c r="AE53">
        <v>3</v>
      </c>
      <c r="AF53" s="10" t="s">
        <v>127</v>
      </c>
      <c r="AG53" s="4"/>
      <c r="AH53" s="8">
        <v>51</v>
      </c>
      <c r="AI53">
        <v>0</v>
      </c>
      <c r="AJ53">
        <v>0</v>
      </c>
      <c r="AK53" s="8" t="s">
        <v>317</v>
      </c>
      <c r="AL53" t="s">
        <v>318</v>
      </c>
      <c r="AM53" t="str">
        <f t="shared" si="13"/>
        <v>Honest</v>
      </c>
      <c r="AN53" s="4"/>
      <c r="AO53">
        <f t="shared" si="0"/>
        <v>1</v>
      </c>
      <c r="AP53">
        <f t="shared" si="1"/>
        <v>2</v>
      </c>
      <c r="AQ53">
        <f t="shared" si="2"/>
        <v>2</v>
      </c>
      <c r="AR53">
        <f t="shared" si="3"/>
        <v>6</v>
      </c>
      <c r="AS53">
        <f t="shared" si="14"/>
        <v>2</v>
      </c>
      <c r="AT53">
        <f t="shared" si="4"/>
        <v>2</v>
      </c>
      <c r="AU53">
        <f t="shared" si="5"/>
        <v>2</v>
      </c>
      <c r="AV53" s="19">
        <f t="shared" si="15"/>
        <v>1.8333333333333333</v>
      </c>
      <c r="AW53" s="4"/>
      <c r="AY53">
        <v>2</v>
      </c>
      <c r="AZ53">
        <v>4</v>
      </c>
      <c r="BA53">
        <v>1</v>
      </c>
      <c r="BB53">
        <v>5</v>
      </c>
      <c r="BC53">
        <v>3</v>
      </c>
      <c r="BD53">
        <v>5</v>
      </c>
      <c r="BE53">
        <f t="shared" si="6"/>
        <v>6</v>
      </c>
      <c r="BF53">
        <f t="shared" si="7"/>
        <v>0</v>
      </c>
      <c r="BG53">
        <f t="shared" si="8"/>
        <v>6</v>
      </c>
      <c r="BI53">
        <v>2</v>
      </c>
      <c r="BJ53">
        <v>4</v>
      </c>
      <c r="BK53">
        <v>1</v>
      </c>
      <c r="BL53">
        <v>5</v>
      </c>
      <c r="BM53">
        <v>3</v>
      </c>
      <c r="BN53">
        <v>5</v>
      </c>
      <c r="BO53">
        <f t="shared" si="9"/>
        <v>8</v>
      </c>
      <c r="BP53">
        <f t="shared" si="10"/>
        <v>1</v>
      </c>
      <c r="BQ53">
        <f t="shared" si="11"/>
        <v>9</v>
      </c>
      <c r="BR53">
        <f t="shared" si="12"/>
        <v>15</v>
      </c>
    </row>
    <row r="54" spans="1:70" ht="30" x14ac:dyDescent="0.25">
      <c r="A54" s="2" t="s">
        <v>33</v>
      </c>
      <c r="B54">
        <v>100</v>
      </c>
      <c r="C54">
        <v>248</v>
      </c>
      <c r="D54" s="2" t="s">
        <v>62</v>
      </c>
      <c r="E54" s="1">
        <v>44476.11832908565</v>
      </c>
      <c r="F54" s="2" t="s">
        <v>63</v>
      </c>
      <c r="G54" s="2" t="s">
        <v>63</v>
      </c>
      <c r="H54" s="2" t="s">
        <v>63</v>
      </c>
      <c r="I54" s="2" t="s">
        <v>63</v>
      </c>
      <c r="J54" s="2" t="s">
        <v>64</v>
      </c>
      <c r="K54" s="2" t="s">
        <v>65</v>
      </c>
      <c r="L54" s="2" t="s">
        <v>71</v>
      </c>
      <c r="M54" s="2" t="s">
        <v>71</v>
      </c>
      <c r="N54" s="2" t="s">
        <v>66</v>
      </c>
      <c r="O54" s="2" t="s">
        <v>78</v>
      </c>
      <c r="P54" s="2" t="s">
        <v>71</v>
      </c>
      <c r="Q54" s="2" t="s">
        <v>71</v>
      </c>
      <c r="R54" s="2" t="s">
        <v>72</v>
      </c>
      <c r="S54">
        <v>3</v>
      </c>
      <c r="T54">
        <v>4</v>
      </c>
      <c r="U54">
        <v>3</v>
      </c>
      <c r="V54">
        <v>4</v>
      </c>
      <c r="W54">
        <v>2</v>
      </c>
      <c r="X54">
        <v>4</v>
      </c>
      <c r="Y54" s="2" t="s">
        <v>72</v>
      </c>
      <c r="Z54">
        <v>3</v>
      </c>
      <c r="AA54">
        <v>3</v>
      </c>
      <c r="AB54">
        <v>2</v>
      </c>
      <c r="AC54">
        <v>5</v>
      </c>
      <c r="AD54">
        <v>4</v>
      </c>
      <c r="AE54">
        <v>3</v>
      </c>
      <c r="AF54" s="10" t="s">
        <v>128</v>
      </c>
      <c r="AG54" s="4"/>
      <c r="AH54" s="8">
        <v>52</v>
      </c>
      <c r="AI54">
        <v>0</v>
      </c>
      <c r="AJ54">
        <v>6</v>
      </c>
      <c r="AK54" s="8" t="s">
        <v>317</v>
      </c>
      <c r="AL54" t="s">
        <v>320</v>
      </c>
      <c r="AM54" t="str">
        <f t="shared" si="13"/>
        <v>Lie</v>
      </c>
      <c r="AN54" s="4"/>
      <c r="AO54">
        <f t="shared" si="0"/>
        <v>2</v>
      </c>
      <c r="AP54">
        <f t="shared" si="1"/>
        <v>2</v>
      </c>
      <c r="AQ54">
        <f t="shared" si="2"/>
        <v>1</v>
      </c>
      <c r="AR54">
        <f t="shared" si="3"/>
        <v>7</v>
      </c>
      <c r="AS54">
        <f t="shared" si="14"/>
        <v>1</v>
      </c>
      <c r="AT54">
        <f t="shared" si="4"/>
        <v>2</v>
      </c>
      <c r="AU54">
        <f t="shared" si="5"/>
        <v>2</v>
      </c>
      <c r="AV54" s="19">
        <f t="shared" si="15"/>
        <v>1.6666666666666667</v>
      </c>
      <c r="AW54" s="4"/>
      <c r="AY54">
        <v>2</v>
      </c>
      <c r="AZ54">
        <v>4</v>
      </c>
      <c r="BA54">
        <v>1</v>
      </c>
      <c r="BB54">
        <v>4</v>
      </c>
      <c r="BC54">
        <v>5</v>
      </c>
      <c r="BD54">
        <v>4</v>
      </c>
      <c r="BE54">
        <f t="shared" si="6"/>
        <v>6</v>
      </c>
      <c r="BF54">
        <f t="shared" si="7"/>
        <v>0</v>
      </c>
      <c r="BG54">
        <f t="shared" si="8"/>
        <v>6</v>
      </c>
      <c r="BI54">
        <v>0</v>
      </c>
      <c r="BJ54">
        <v>5</v>
      </c>
      <c r="BK54">
        <v>1</v>
      </c>
      <c r="BL54">
        <v>5</v>
      </c>
      <c r="BM54">
        <v>4</v>
      </c>
      <c r="BN54">
        <v>5</v>
      </c>
      <c r="BO54">
        <f t="shared" si="9"/>
        <v>8</v>
      </c>
      <c r="BP54">
        <f t="shared" si="10"/>
        <v>1</v>
      </c>
      <c r="BQ54">
        <f t="shared" si="11"/>
        <v>9</v>
      </c>
      <c r="BR54">
        <f t="shared" si="12"/>
        <v>15</v>
      </c>
    </row>
    <row r="55" spans="1:70" ht="60" x14ac:dyDescent="0.25">
      <c r="A55" s="2" t="s">
        <v>33</v>
      </c>
      <c r="B55">
        <v>100</v>
      </c>
      <c r="C55">
        <v>313</v>
      </c>
      <c r="D55" s="2" t="s">
        <v>62</v>
      </c>
      <c r="E55" s="1">
        <v>44476.124354768515</v>
      </c>
      <c r="F55" s="2" t="s">
        <v>63</v>
      </c>
      <c r="G55" s="2" t="s">
        <v>63</v>
      </c>
      <c r="H55" s="2" t="s">
        <v>63</v>
      </c>
      <c r="I55" s="2" t="s">
        <v>63</v>
      </c>
      <c r="J55" s="2" t="s">
        <v>64</v>
      </c>
      <c r="K55" s="2" t="s">
        <v>65</v>
      </c>
      <c r="L55" s="2" t="s">
        <v>71</v>
      </c>
      <c r="M55" s="2" t="s">
        <v>74</v>
      </c>
      <c r="N55" s="2" t="s">
        <v>71</v>
      </c>
      <c r="O55" s="2" t="s">
        <v>81</v>
      </c>
      <c r="P55" s="2" t="s">
        <v>75</v>
      </c>
      <c r="Q55" s="2" t="s">
        <v>66</v>
      </c>
      <c r="R55" s="2" t="s">
        <v>69</v>
      </c>
      <c r="S55">
        <v>6</v>
      </c>
      <c r="T55">
        <v>2</v>
      </c>
      <c r="U55">
        <v>1</v>
      </c>
      <c r="V55">
        <v>6</v>
      </c>
      <c r="W55">
        <v>2</v>
      </c>
      <c r="X55">
        <v>3</v>
      </c>
      <c r="Y55" s="2" t="s">
        <v>69</v>
      </c>
      <c r="Z55">
        <v>3</v>
      </c>
      <c r="AA55">
        <v>4</v>
      </c>
      <c r="AB55">
        <v>0</v>
      </c>
      <c r="AC55">
        <v>6</v>
      </c>
      <c r="AD55">
        <v>3</v>
      </c>
      <c r="AE55">
        <v>4</v>
      </c>
      <c r="AF55" s="10" t="s">
        <v>129</v>
      </c>
      <c r="AG55" s="4"/>
      <c r="AH55" s="8">
        <v>53</v>
      </c>
      <c r="AI55">
        <v>1</v>
      </c>
      <c r="AJ55">
        <v>0</v>
      </c>
      <c r="AK55" s="8" t="s">
        <v>317</v>
      </c>
      <c r="AL55" t="s">
        <v>318</v>
      </c>
      <c r="AM55" t="str">
        <f t="shared" si="13"/>
        <v>Honest</v>
      </c>
      <c r="AN55" s="4"/>
      <c r="AO55">
        <f t="shared" si="0"/>
        <v>2</v>
      </c>
      <c r="AP55">
        <f t="shared" si="1"/>
        <v>3</v>
      </c>
      <c r="AQ55">
        <f t="shared" si="2"/>
        <v>2</v>
      </c>
      <c r="AR55">
        <f t="shared" si="3"/>
        <v>5</v>
      </c>
      <c r="AS55">
        <f t="shared" si="14"/>
        <v>3</v>
      </c>
      <c r="AT55">
        <f t="shared" si="4"/>
        <v>4</v>
      </c>
      <c r="AU55">
        <f t="shared" si="5"/>
        <v>1</v>
      </c>
      <c r="AV55" s="19">
        <f t="shared" si="15"/>
        <v>2.5</v>
      </c>
      <c r="AW55" s="4"/>
      <c r="AY55">
        <v>0</v>
      </c>
      <c r="AZ55">
        <v>2</v>
      </c>
      <c r="BA55">
        <v>0</v>
      </c>
      <c r="BB55">
        <v>9</v>
      </c>
      <c r="BC55">
        <v>7</v>
      </c>
      <c r="BD55">
        <v>2</v>
      </c>
      <c r="BE55">
        <f t="shared" si="6"/>
        <v>16</v>
      </c>
      <c r="BF55">
        <f t="shared" si="7"/>
        <v>1</v>
      </c>
      <c r="BG55">
        <f t="shared" si="8"/>
        <v>17</v>
      </c>
      <c r="BI55">
        <v>0</v>
      </c>
      <c r="BJ55">
        <v>2</v>
      </c>
      <c r="BK55">
        <v>0</v>
      </c>
      <c r="BL55">
        <v>9</v>
      </c>
      <c r="BM55">
        <v>7</v>
      </c>
      <c r="BN55">
        <v>2</v>
      </c>
      <c r="BO55">
        <f t="shared" si="9"/>
        <v>14</v>
      </c>
      <c r="BP55">
        <f t="shared" si="10"/>
        <v>0</v>
      </c>
      <c r="BQ55">
        <f t="shared" si="11"/>
        <v>14</v>
      </c>
      <c r="BR55">
        <f t="shared" si="12"/>
        <v>31</v>
      </c>
    </row>
    <row r="56" spans="1:70" ht="30" x14ac:dyDescent="0.25">
      <c r="A56" s="2" t="s">
        <v>33</v>
      </c>
      <c r="B56">
        <v>100</v>
      </c>
      <c r="C56">
        <v>383</v>
      </c>
      <c r="D56" s="2" t="s">
        <v>62</v>
      </c>
      <c r="E56" s="1">
        <v>44476.126988738426</v>
      </c>
      <c r="F56" s="2" t="s">
        <v>63</v>
      </c>
      <c r="G56" s="2" t="s">
        <v>63</v>
      </c>
      <c r="H56" s="2" t="s">
        <v>63</v>
      </c>
      <c r="I56" s="2" t="s">
        <v>63</v>
      </c>
      <c r="J56" s="2" t="s">
        <v>64</v>
      </c>
      <c r="K56" s="2" t="s">
        <v>65</v>
      </c>
      <c r="L56" s="2" t="s">
        <v>66</v>
      </c>
      <c r="M56" s="2" t="s">
        <v>66</v>
      </c>
      <c r="N56" s="2" t="s">
        <v>66</v>
      </c>
      <c r="O56" s="2" t="s">
        <v>67</v>
      </c>
      <c r="P56" s="2" t="s">
        <v>66</v>
      </c>
      <c r="Q56" s="2" t="s">
        <v>66</v>
      </c>
      <c r="R56" s="2" t="s">
        <v>72</v>
      </c>
      <c r="S56">
        <v>1</v>
      </c>
      <c r="T56">
        <v>2</v>
      </c>
      <c r="U56">
        <v>2</v>
      </c>
      <c r="V56">
        <v>6</v>
      </c>
      <c r="W56">
        <v>5</v>
      </c>
      <c r="X56">
        <v>4</v>
      </c>
      <c r="Y56" s="2" t="s">
        <v>72</v>
      </c>
      <c r="Z56">
        <v>1</v>
      </c>
      <c r="AA56">
        <v>2</v>
      </c>
      <c r="AB56">
        <v>2</v>
      </c>
      <c r="AC56">
        <v>6</v>
      </c>
      <c r="AD56">
        <v>5</v>
      </c>
      <c r="AE56">
        <v>4</v>
      </c>
      <c r="AF56" s="10" t="s">
        <v>130</v>
      </c>
      <c r="AG56" s="4"/>
      <c r="AH56" s="8">
        <v>54</v>
      </c>
      <c r="AI56">
        <v>0</v>
      </c>
      <c r="AJ56">
        <v>2</v>
      </c>
      <c r="AK56" s="8" t="s">
        <v>315</v>
      </c>
      <c r="AL56" t="s">
        <v>319</v>
      </c>
      <c r="AM56" t="str">
        <f t="shared" si="13"/>
        <v>Lie</v>
      </c>
      <c r="AN56" s="4"/>
      <c r="AO56">
        <f t="shared" si="0"/>
        <v>1</v>
      </c>
      <c r="AP56">
        <f t="shared" si="1"/>
        <v>1</v>
      </c>
      <c r="AQ56">
        <f t="shared" si="2"/>
        <v>1</v>
      </c>
      <c r="AR56">
        <f t="shared" si="3"/>
        <v>6</v>
      </c>
      <c r="AS56">
        <f t="shared" si="14"/>
        <v>2</v>
      </c>
      <c r="AT56">
        <f t="shared" si="4"/>
        <v>1</v>
      </c>
      <c r="AU56">
        <f t="shared" si="5"/>
        <v>1</v>
      </c>
      <c r="AV56" s="19">
        <f t="shared" si="15"/>
        <v>1.1666666666666667</v>
      </c>
      <c r="AW56" s="4"/>
      <c r="AY56">
        <v>6</v>
      </c>
      <c r="AZ56">
        <v>3</v>
      </c>
      <c r="BA56">
        <v>3</v>
      </c>
      <c r="BB56">
        <v>2</v>
      </c>
      <c r="BC56">
        <v>4</v>
      </c>
      <c r="BD56">
        <v>2</v>
      </c>
      <c r="BE56">
        <f t="shared" si="6"/>
        <v>14</v>
      </c>
      <c r="BF56">
        <f t="shared" si="7"/>
        <v>0</v>
      </c>
      <c r="BG56">
        <f t="shared" si="8"/>
        <v>14</v>
      </c>
      <c r="BI56">
        <v>5</v>
      </c>
      <c r="BJ56">
        <v>4</v>
      </c>
      <c r="BK56">
        <v>3</v>
      </c>
      <c r="BL56">
        <v>1</v>
      </c>
      <c r="BM56">
        <v>4</v>
      </c>
      <c r="BN56">
        <v>3</v>
      </c>
      <c r="BO56">
        <f t="shared" si="9"/>
        <v>14</v>
      </c>
      <c r="BP56">
        <f t="shared" si="10"/>
        <v>1</v>
      </c>
      <c r="BQ56">
        <f t="shared" si="11"/>
        <v>15</v>
      </c>
      <c r="BR56">
        <f t="shared" si="12"/>
        <v>29</v>
      </c>
    </row>
    <row r="57" spans="1:70" ht="60" x14ac:dyDescent="0.25">
      <c r="A57" s="2" t="s">
        <v>33</v>
      </c>
      <c r="B57">
        <v>100</v>
      </c>
      <c r="C57">
        <v>437</v>
      </c>
      <c r="D57" s="2" t="s">
        <v>62</v>
      </c>
      <c r="E57" s="1">
        <v>44476.129668668982</v>
      </c>
      <c r="F57" s="2" t="s">
        <v>63</v>
      </c>
      <c r="G57" s="2" t="s">
        <v>63</v>
      </c>
      <c r="H57" s="2" t="s">
        <v>63</v>
      </c>
      <c r="I57" s="2" t="s">
        <v>63</v>
      </c>
      <c r="J57" s="2" t="s">
        <v>64</v>
      </c>
      <c r="K57" s="2" t="s">
        <v>65</v>
      </c>
      <c r="L57" s="2" t="s">
        <v>66</v>
      </c>
      <c r="M57" s="2" t="s">
        <v>75</v>
      </c>
      <c r="N57" s="2" t="s">
        <v>66</v>
      </c>
      <c r="O57" s="2" t="s">
        <v>78</v>
      </c>
      <c r="P57" s="2" t="s">
        <v>75</v>
      </c>
      <c r="Q57" s="2" t="s">
        <v>71</v>
      </c>
      <c r="R57" s="2" t="s">
        <v>72</v>
      </c>
      <c r="S57">
        <v>1</v>
      </c>
      <c r="T57">
        <v>3</v>
      </c>
      <c r="U57">
        <v>5</v>
      </c>
      <c r="V57">
        <v>5</v>
      </c>
      <c r="W57">
        <v>3</v>
      </c>
      <c r="X57">
        <v>3</v>
      </c>
      <c r="Y57" s="2" t="s">
        <v>69</v>
      </c>
      <c r="Z57">
        <v>1</v>
      </c>
      <c r="AA57">
        <v>4</v>
      </c>
      <c r="AB57">
        <v>5</v>
      </c>
      <c r="AC57">
        <v>5</v>
      </c>
      <c r="AD57">
        <v>3</v>
      </c>
      <c r="AE57">
        <v>2</v>
      </c>
      <c r="AF57" s="10" t="s">
        <v>131</v>
      </c>
      <c r="AG57" s="4"/>
      <c r="AH57" s="8">
        <v>55</v>
      </c>
      <c r="AI57">
        <v>0</v>
      </c>
      <c r="AJ57">
        <v>0</v>
      </c>
      <c r="AK57" s="8" t="s">
        <v>317</v>
      </c>
      <c r="AL57" t="s">
        <v>318</v>
      </c>
      <c r="AM57" t="str">
        <f t="shared" si="13"/>
        <v>Honest</v>
      </c>
      <c r="AN57" s="4"/>
      <c r="AO57">
        <f t="shared" si="0"/>
        <v>1</v>
      </c>
      <c r="AP57">
        <f t="shared" si="1"/>
        <v>4</v>
      </c>
      <c r="AQ57">
        <f t="shared" si="2"/>
        <v>1</v>
      </c>
      <c r="AR57">
        <f t="shared" si="3"/>
        <v>7</v>
      </c>
      <c r="AS57">
        <f t="shared" si="14"/>
        <v>1</v>
      </c>
      <c r="AT57">
        <f t="shared" si="4"/>
        <v>4</v>
      </c>
      <c r="AU57">
        <f t="shared" si="5"/>
        <v>2</v>
      </c>
      <c r="AV57" s="19">
        <f t="shared" si="15"/>
        <v>2.1666666666666665</v>
      </c>
      <c r="AW57" s="4"/>
      <c r="AY57">
        <v>2</v>
      </c>
      <c r="AZ57">
        <v>5</v>
      </c>
      <c r="BA57">
        <v>1</v>
      </c>
      <c r="BB57">
        <v>2</v>
      </c>
      <c r="BC57">
        <v>4</v>
      </c>
      <c r="BD57">
        <v>6</v>
      </c>
      <c r="BE57">
        <f t="shared" si="6"/>
        <v>14</v>
      </c>
      <c r="BF57">
        <f t="shared" si="7"/>
        <v>0</v>
      </c>
      <c r="BG57">
        <f t="shared" si="8"/>
        <v>14</v>
      </c>
      <c r="BI57">
        <v>2</v>
      </c>
      <c r="BJ57">
        <v>5</v>
      </c>
      <c r="BK57">
        <v>1</v>
      </c>
      <c r="BL57">
        <v>2</v>
      </c>
      <c r="BM57">
        <v>4</v>
      </c>
      <c r="BN57">
        <v>6</v>
      </c>
      <c r="BO57">
        <f t="shared" si="9"/>
        <v>14</v>
      </c>
      <c r="BP57">
        <f t="shared" si="10"/>
        <v>0</v>
      </c>
      <c r="BQ57">
        <f t="shared" si="11"/>
        <v>14</v>
      </c>
      <c r="BR57">
        <f t="shared" si="12"/>
        <v>28</v>
      </c>
    </row>
    <row r="58" spans="1:70" ht="60" x14ac:dyDescent="0.25">
      <c r="A58" s="2" t="s">
        <v>33</v>
      </c>
      <c r="B58">
        <v>100</v>
      </c>
      <c r="C58">
        <v>283</v>
      </c>
      <c r="D58" s="2" t="s">
        <v>62</v>
      </c>
      <c r="E58" s="1">
        <v>44476.131139942132</v>
      </c>
      <c r="F58" s="2" t="s">
        <v>63</v>
      </c>
      <c r="G58" s="2" t="s">
        <v>63</v>
      </c>
      <c r="H58" s="2" t="s">
        <v>63</v>
      </c>
      <c r="I58" s="2" t="s">
        <v>63</v>
      </c>
      <c r="J58" s="2" t="s">
        <v>64</v>
      </c>
      <c r="K58" s="2" t="s">
        <v>65</v>
      </c>
      <c r="L58" s="2" t="s">
        <v>66</v>
      </c>
      <c r="M58" s="2" t="s">
        <v>74</v>
      </c>
      <c r="N58" s="2" t="s">
        <v>66</v>
      </c>
      <c r="O58" s="2" t="s">
        <v>75</v>
      </c>
      <c r="P58" s="2" t="s">
        <v>81</v>
      </c>
      <c r="Q58" s="2" t="s">
        <v>74</v>
      </c>
      <c r="R58" s="2" t="s">
        <v>72</v>
      </c>
      <c r="S58">
        <v>2</v>
      </c>
      <c r="T58">
        <v>7</v>
      </c>
      <c r="U58">
        <v>1</v>
      </c>
      <c r="V58">
        <v>2</v>
      </c>
      <c r="W58">
        <v>4</v>
      </c>
      <c r="X58">
        <v>4</v>
      </c>
      <c r="Y58" s="2" t="s">
        <v>72</v>
      </c>
      <c r="Z58">
        <v>3</v>
      </c>
      <c r="AA58">
        <v>3</v>
      </c>
      <c r="AB58">
        <v>5</v>
      </c>
      <c r="AC58">
        <v>1</v>
      </c>
      <c r="AD58">
        <v>5</v>
      </c>
      <c r="AE58">
        <v>3</v>
      </c>
      <c r="AF58" s="10" t="s">
        <v>132</v>
      </c>
      <c r="AG58" s="4"/>
      <c r="AH58" s="8">
        <v>56</v>
      </c>
      <c r="AI58">
        <v>0</v>
      </c>
      <c r="AJ58">
        <v>0</v>
      </c>
      <c r="AK58" s="8" t="s">
        <v>315</v>
      </c>
      <c r="AL58" t="s">
        <v>316</v>
      </c>
      <c r="AM58" t="str">
        <f t="shared" si="13"/>
        <v>Honest</v>
      </c>
      <c r="AN58" s="4"/>
      <c r="AO58">
        <f t="shared" si="0"/>
        <v>1</v>
      </c>
      <c r="AP58">
        <f t="shared" si="1"/>
        <v>3</v>
      </c>
      <c r="AQ58">
        <f t="shared" si="2"/>
        <v>1</v>
      </c>
      <c r="AR58">
        <f t="shared" si="3"/>
        <v>4</v>
      </c>
      <c r="AS58">
        <f t="shared" si="14"/>
        <v>4</v>
      </c>
      <c r="AT58">
        <f t="shared" si="4"/>
        <v>5</v>
      </c>
      <c r="AU58">
        <f t="shared" si="5"/>
        <v>3</v>
      </c>
      <c r="AV58" s="19">
        <f t="shared" si="15"/>
        <v>2.8333333333333335</v>
      </c>
      <c r="AW58" s="4"/>
      <c r="AY58">
        <v>1</v>
      </c>
      <c r="AZ58">
        <v>2</v>
      </c>
      <c r="BA58">
        <v>7</v>
      </c>
      <c r="BB58">
        <v>2</v>
      </c>
      <c r="BC58">
        <v>3</v>
      </c>
      <c r="BD58">
        <v>5</v>
      </c>
      <c r="BE58">
        <f t="shared" si="6"/>
        <v>14</v>
      </c>
      <c r="BF58">
        <f t="shared" si="7"/>
        <v>0</v>
      </c>
      <c r="BG58">
        <f t="shared" si="8"/>
        <v>14</v>
      </c>
      <c r="BI58">
        <v>1</v>
      </c>
      <c r="BJ58">
        <v>2</v>
      </c>
      <c r="BK58">
        <v>7</v>
      </c>
      <c r="BL58">
        <v>2</v>
      </c>
      <c r="BM58">
        <v>3</v>
      </c>
      <c r="BN58">
        <v>5</v>
      </c>
      <c r="BO58">
        <f t="shared" si="9"/>
        <v>10</v>
      </c>
      <c r="BP58">
        <f t="shared" si="10"/>
        <v>1</v>
      </c>
      <c r="BQ58">
        <f t="shared" si="11"/>
        <v>11</v>
      </c>
      <c r="BR58">
        <f t="shared" si="12"/>
        <v>25</v>
      </c>
    </row>
    <row r="59" spans="1:70" ht="30" x14ac:dyDescent="0.25">
      <c r="A59" s="2" t="s">
        <v>33</v>
      </c>
      <c r="B59">
        <v>100</v>
      </c>
      <c r="C59">
        <v>315</v>
      </c>
      <c r="D59" s="2" t="s">
        <v>62</v>
      </c>
      <c r="E59" s="1">
        <v>44476.150686458335</v>
      </c>
      <c r="F59" s="2" t="s">
        <v>63</v>
      </c>
      <c r="G59" s="2" t="s">
        <v>63</v>
      </c>
      <c r="H59" s="2" t="s">
        <v>63</v>
      </c>
      <c r="I59" s="2" t="s">
        <v>63</v>
      </c>
      <c r="J59" s="2" t="s">
        <v>64</v>
      </c>
      <c r="K59" s="2" t="s">
        <v>65</v>
      </c>
      <c r="L59" s="2" t="s">
        <v>71</v>
      </c>
      <c r="M59" s="2" t="s">
        <v>74</v>
      </c>
      <c r="N59" s="2" t="s">
        <v>71</v>
      </c>
      <c r="O59" s="2" t="s">
        <v>67</v>
      </c>
      <c r="P59" s="2" t="s">
        <v>74</v>
      </c>
      <c r="Q59" s="2" t="s">
        <v>74</v>
      </c>
      <c r="R59" s="2" t="s">
        <v>69</v>
      </c>
      <c r="S59">
        <v>2</v>
      </c>
      <c r="T59">
        <v>3</v>
      </c>
      <c r="U59">
        <v>4</v>
      </c>
      <c r="V59">
        <v>3</v>
      </c>
      <c r="W59">
        <v>5</v>
      </c>
      <c r="X59">
        <v>3</v>
      </c>
      <c r="Y59" s="2" t="s">
        <v>69</v>
      </c>
      <c r="Z59">
        <v>2</v>
      </c>
      <c r="AA59">
        <v>3</v>
      </c>
      <c r="AB59">
        <v>4</v>
      </c>
      <c r="AC59">
        <v>3</v>
      </c>
      <c r="AD59">
        <v>5</v>
      </c>
      <c r="AE59">
        <v>3</v>
      </c>
      <c r="AF59" s="10" t="s">
        <v>133</v>
      </c>
      <c r="AG59" s="4"/>
      <c r="AH59" s="8">
        <v>57</v>
      </c>
      <c r="AI59">
        <v>0</v>
      </c>
      <c r="AJ59">
        <v>0</v>
      </c>
      <c r="AK59" s="8" t="s">
        <v>317</v>
      </c>
      <c r="AL59" t="s">
        <v>318</v>
      </c>
      <c r="AM59" t="str">
        <f t="shared" si="13"/>
        <v>Honest</v>
      </c>
      <c r="AN59" s="4"/>
      <c r="AO59">
        <f t="shared" si="0"/>
        <v>2</v>
      </c>
      <c r="AP59">
        <f t="shared" si="1"/>
        <v>3</v>
      </c>
      <c r="AQ59">
        <f t="shared" si="2"/>
        <v>2</v>
      </c>
      <c r="AR59">
        <f t="shared" si="3"/>
        <v>6</v>
      </c>
      <c r="AS59">
        <f t="shared" si="14"/>
        <v>2</v>
      </c>
      <c r="AT59">
        <f t="shared" si="4"/>
        <v>3</v>
      </c>
      <c r="AU59">
        <f t="shared" si="5"/>
        <v>3</v>
      </c>
      <c r="AV59" s="19">
        <f t="shared" si="15"/>
        <v>2.5</v>
      </c>
      <c r="AW59" s="4"/>
      <c r="AY59">
        <v>3</v>
      </c>
      <c r="AZ59">
        <v>4</v>
      </c>
      <c r="BA59">
        <v>6</v>
      </c>
      <c r="BB59">
        <v>2</v>
      </c>
      <c r="BC59">
        <v>4</v>
      </c>
      <c r="BD59">
        <v>1</v>
      </c>
      <c r="BE59">
        <f t="shared" si="6"/>
        <v>8</v>
      </c>
      <c r="BF59">
        <f t="shared" si="7"/>
        <v>1</v>
      </c>
      <c r="BG59">
        <f t="shared" si="8"/>
        <v>9</v>
      </c>
      <c r="BI59">
        <v>3</v>
      </c>
      <c r="BJ59">
        <v>4</v>
      </c>
      <c r="BK59">
        <v>6</v>
      </c>
      <c r="BL59">
        <v>2</v>
      </c>
      <c r="BM59">
        <v>4</v>
      </c>
      <c r="BN59">
        <v>1</v>
      </c>
      <c r="BO59">
        <f t="shared" si="9"/>
        <v>8</v>
      </c>
      <c r="BP59">
        <f t="shared" si="10"/>
        <v>0</v>
      </c>
      <c r="BQ59">
        <f t="shared" si="11"/>
        <v>8</v>
      </c>
      <c r="BR59">
        <f t="shared" si="12"/>
        <v>17</v>
      </c>
    </row>
    <row r="60" spans="1:70" ht="30" x14ac:dyDescent="0.25">
      <c r="A60" s="2" t="s">
        <v>33</v>
      </c>
      <c r="B60">
        <v>100</v>
      </c>
      <c r="C60">
        <v>228</v>
      </c>
      <c r="D60" s="2" t="s">
        <v>62</v>
      </c>
      <c r="E60" s="1">
        <v>44476.16629483796</v>
      </c>
      <c r="F60" s="2" t="s">
        <v>63</v>
      </c>
      <c r="G60" s="2" t="s">
        <v>63</v>
      </c>
      <c r="H60" s="2" t="s">
        <v>63</v>
      </c>
      <c r="I60" s="2" t="s">
        <v>63</v>
      </c>
      <c r="J60" s="2" t="s">
        <v>64</v>
      </c>
      <c r="K60" s="2" t="s">
        <v>65</v>
      </c>
      <c r="L60" s="2" t="s">
        <v>66</v>
      </c>
      <c r="M60" s="2" t="s">
        <v>66</v>
      </c>
      <c r="N60" s="2" t="s">
        <v>66</v>
      </c>
      <c r="O60" s="2" t="s">
        <v>67</v>
      </c>
      <c r="P60" s="2" t="s">
        <v>67</v>
      </c>
      <c r="Q60" s="2" t="s">
        <v>67</v>
      </c>
      <c r="R60" s="2" t="s">
        <v>68</v>
      </c>
      <c r="S60">
        <v>3</v>
      </c>
      <c r="T60">
        <v>2</v>
      </c>
      <c r="U60">
        <v>2</v>
      </c>
      <c r="V60">
        <v>5</v>
      </c>
      <c r="W60">
        <v>5</v>
      </c>
      <c r="X60">
        <v>3</v>
      </c>
      <c r="Y60" s="2" t="s">
        <v>69</v>
      </c>
      <c r="Z60">
        <v>4</v>
      </c>
      <c r="AA60">
        <v>2</v>
      </c>
      <c r="AB60">
        <v>2</v>
      </c>
      <c r="AC60">
        <v>5</v>
      </c>
      <c r="AD60">
        <v>4</v>
      </c>
      <c r="AE60">
        <v>3</v>
      </c>
      <c r="AF60" s="10" t="s">
        <v>134</v>
      </c>
      <c r="AG60" s="4"/>
      <c r="AH60" s="8">
        <v>58</v>
      </c>
      <c r="AI60">
        <v>0</v>
      </c>
      <c r="AJ60">
        <v>1</v>
      </c>
      <c r="AK60" s="8" t="s">
        <v>315</v>
      </c>
      <c r="AL60" t="s">
        <v>319</v>
      </c>
      <c r="AM60" t="str">
        <f t="shared" si="13"/>
        <v>Lie</v>
      </c>
      <c r="AN60" s="4"/>
      <c r="AO60">
        <f t="shared" si="0"/>
        <v>1</v>
      </c>
      <c r="AP60">
        <f t="shared" si="1"/>
        <v>1</v>
      </c>
      <c r="AQ60">
        <f t="shared" si="2"/>
        <v>1</v>
      </c>
      <c r="AR60">
        <f t="shared" si="3"/>
        <v>6</v>
      </c>
      <c r="AS60">
        <f t="shared" si="14"/>
        <v>2</v>
      </c>
      <c r="AT60">
        <f t="shared" si="4"/>
        <v>6</v>
      </c>
      <c r="AU60">
        <f t="shared" si="5"/>
        <v>6</v>
      </c>
      <c r="AV60" s="19">
        <f t="shared" si="15"/>
        <v>2.8333333333333335</v>
      </c>
      <c r="AW60" s="4"/>
      <c r="AY60">
        <v>2</v>
      </c>
      <c r="AZ60">
        <v>4</v>
      </c>
      <c r="BA60">
        <v>3</v>
      </c>
      <c r="BB60">
        <v>2</v>
      </c>
      <c r="BC60">
        <v>1</v>
      </c>
      <c r="BD60">
        <v>8</v>
      </c>
      <c r="BE60">
        <f t="shared" si="6"/>
        <v>16</v>
      </c>
      <c r="BF60">
        <f t="shared" si="7"/>
        <v>1</v>
      </c>
      <c r="BG60">
        <f t="shared" si="8"/>
        <v>17</v>
      </c>
      <c r="BI60">
        <v>2</v>
      </c>
      <c r="BJ60">
        <v>5</v>
      </c>
      <c r="BK60">
        <v>3</v>
      </c>
      <c r="BL60">
        <v>1</v>
      </c>
      <c r="BM60">
        <v>1</v>
      </c>
      <c r="BN60">
        <v>8</v>
      </c>
      <c r="BO60">
        <f t="shared" si="9"/>
        <v>18</v>
      </c>
      <c r="BP60">
        <f t="shared" si="10"/>
        <v>0</v>
      </c>
      <c r="BQ60">
        <f t="shared" si="11"/>
        <v>18</v>
      </c>
      <c r="BR60">
        <f t="shared" si="12"/>
        <v>35</v>
      </c>
    </row>
    <row r="61" spans="1:70" s="4" customFormat="1" ht="30" x14ac:dyDescent="0.25">
      <c r="A61" s="2" t="s">
        <v>33</v>
      </c>
      <c r="B61">
        <v>100</v>
      </c>
      <c r="C61">
        <v>422</v>
      </c>
      <c r="D61" s="2" t="s">
        <v>62</v>
      </c>
      <c r="E61" s="1">
        <v>44476.210628333334</v>
      </c>
      <c r="F61" s="2" t="s">
        <v>63</v>
      </c>
      <c r="G61" s="2" t="s">
        <v>63</v>
      </c>
      <c r="H61" s="2" t="s">
        <v>63</v>
      </c>
      <c r="I61" s="2" t="s">
        <v>63</v>
      </c>
      <c r="J61" s="2" t="s">
        <v>64</v>
      </c>
      <c r="K61" s="2" t="s">
        <v>65</v>
      </c>
      <c r="L61" s="2" t="s">
        <v>71</v>
      </c>
      <c r="M61" s="2" t="s">
        <v>71</v>
      </c>
      <c r="N61" s="2" t="s">
        <v>71</v>
      </c>
      <c r="O61" s="2" t="s">
        <v>67</v>
      </c>
      <c r="P61" s="2" t="s">
        <v>71</v>
      </c>
      <c r="Q61" s="2" t="s">
        <v>71</v>
      </c>
      <c r="R61" s="2" t="s">
        <v>72</v>
      </c>
      <c r="S61">
        <v>3</v>
      </c>
      <c r="T61">
        <v>2</v>
      </c>
      <c r="U61">
        <v>3</v>
      </c>
      <c r="V61">
        <v>5</v>
      </c>
      <c r="W61">
        <v>3</v>
      </c>
      <c r="X61">
        <v>4</v>
      </c>
      <c r="Y61" s="2" t="s">
        <v>69</v>
      </c>
      <c r="Z61">
        <v>2</v>
      </c>
      <c r="AA61">
        <v>4</v>
      </c>
      <c r="AB61">
        <v>3</v>
      </c>
      <c r="AC61">
        <v>4</v>
      </c>
      <c r="AD61">
        <v>3</v>
      </c>
      <c r="AE61">
        <v>4</v>
      </c>
      <c r="AF61" s="10" t="s">
        <v>135</v>
      </c>
      <c r="AH61" s="8">
        <v>59</v>
      </c>
      <c r="AI61">
        <v>0</v>
      </c>
      <c r="AJ61">
        <v>3</v>
      </c>
      <c r="AK61" s="8" t="s">
        <v>315</v>
      </c>
      <c r="AL61" t="s">
        <v>319</v>
      </c>
      <c r="AM61" t="str">
        <f t="shared" si="13"/>
        <v>Lie</v>
      </c>
      <c r="AO61">
        <f t="shared" si="0"/>
        <v>2</v>
      </c>
      <c r="AP61">
        <f t="shared" si="1"/>
        <v>2</v>
      </c>
      <c r="AQ61">
        <f t="shared" si="2"/>
        <v>2</v>
      </c>
      <c r="AR61">
        <f t="shared" si="3"/>
        <v>6</v>
      </c>
      <c r="AS61">
        <f t="shared" si="14"/>
        <v>2</v>
      </c>
      <c r="AT61">
        <f t="shared" si="4"/>
        <v>2</v>
      </c>
      <c r="AU61">
        <f t="shared" si="5"/>
        <v>2</v>
      </c>
      <c r="AV61" s="19">
        <f t="shared" si="15"/>
        <v>2</v>
      </c>
      <c r="AX61"/>
      <c r="AY61">
        <v>2</v>
      </c>
      <c r="AZ61">
        <v>3</v>
      </c>
      <c r="BA61">
        <v>5</v>
      </c>
      <c r="BB61">
        <v>3</v>
      </c>
      <c r="BC61">
        <v>3</v>
      </c>
      <c r="BD61">
        <v>4</v>
      </c>
      <c r="BE61">
        <f t="shared" si="6"/>
        <v>6</v>
      </c>
      <c r="BF61">
        <f t="shared" si="7"/>
        <v>0</v>
      </c>
      <c r="BG61">
        <f t="shared" si="8"/>
        <v>6</v>
      </c>
      <c r="BH61" s="8"/>
      <c r="BI61">
        <v>3</v>
      </c>
      <c r="BJ61">
        <v>3</v>
      </c>
      <c r="BK61">
        <v>4</v>
      </c>
      <c r="BL61">
        <v>2</v>
      </c>
      <c r="BM61">
        <v>3</v>
      </c>
      <c r="BN61">
        <v>5</v>
      </c>
      <c r="BO61">
        <f t="shared" si="9"/>
        <v>6</v>
      </c>
      <c r="BP61">
        <f t="shared" si="10"/>
        <v>0</v>
      </c>
      <c r="BQ61">
        <f t="shared" si="11"/>
        <v>6</v>
      </c>
      <c r="BR61">
        <f t="shared" si="12"/>
        <v>12</v>
      </c>
    </row>
    <row r="62" spans="1:70" ht="30" x14ac:dyDescent="0.25">
      <c r="A62" s="2" t="s">
        <v>33</v>
      </c>
      <c r="B62">
        <v>100</v>
      </c>
      <c r="C62">
        <v>285</v>
      </c>
      <c r="D62" s="2" t="s">
        <v>62</v>
      </c>
      <c r="E62" s="1">
        <v>44476.222621643516</v>
      </c>
      <c r="F62" s="2" t="s">
        <v>63</v>
      </c>
      <c r="G62" s="2" t="s">
        <v>63</v>
      </c>
      <c r="H62" s="2" t="s">
        <v>63</v>
      </c>
      <c r="I62" s="2" t="s">
        <v>63</v>
      </c>
      <c r="J62" s="2" t="s">
        <v>64</v>
      </c>
      <c r="K62" s="2" t="s">
        <v>65</v>
      </c>
      <c r="L62" s="2" t="s">
        <v>66</v>
      </c>
      <c r="M62" s="2" t="s">
        <v>74</v>
      </c>
      <c r="N62" s="2" t="s">
        <v>71</v>
      </c>
      <c r="O62" s="2" t="s">
        <v>67</v>
      </c>
      <c r="P62" s="2" t="s">
        <v>74</v>
      </c>
      <c r="Q62" s="2" t="s">
        <v>74</v>
      </c>
      <c r="R62" s="2" t="s">
        <v>72</v>
      </c>
      <c r="S62">
        <v>3</v>
      </c>
      <c r="T62">
        <v>5</v>
      </c>
      <c r="U62">
        <v>3</v>
      </c>
      <c r="V62">
        <v>4</v>
      </c>
      <c r="W62">
        <v>3</v>
      </c>
      <c r="X62">
        <v>2</v>
      </c>
      <c r="Y62" s="2" t="s">
        <v>69</v>
      </c>
      <c r="Z62">
        <v>3</v>
      </c>
      <c r="AA62">
        <v>5</v>
      </c>
      <c r="AB62">
        <v>3</v>
      </c>
      <c r="AC62">
        <v>4</v>
      </c>
      <c r="AD62">
        <v>3</v>
      </c>
      <c r="AE62">
        <v>2</v>
      </c>
      <c r="AF62" s="10" t="s">
        <v>136</v>
      </c>
      <c r="AG62" s="4"/>
      <c r="AH62" s="8">
        <v>60</v>
      </c>
      <c r="AI62">
        <v>0</v>
      </c>
      <c r="AJ62">
        <v>0</v>
      </c>
      <c r="AK62" s="8" t="s">
        <v>317</v>
      </c>
      <c r="AL62" t="s">
        <v>318</v>
      </c>
      <c r="AM62" t="str">
        <f t="shared" si="13"/>
        <v>Honest</v>
      </c>
      <c r="AN62" s="4"/>
      <c r="AO62">
        <f t="shared" si="0"/>
        <v>1</v>
      </c>
      <c r="AP62">
        <f t="shared" si="1"/>
        <v>3</v>
      </c>
      <c r="AQ62">
        <f t="shared" si="2"/>
        <v>2</v>
      </c>
      <c r="AR62">
        <f t="shared" si="3"/>
        <v>6</v>
      </c>
      <c r="AS62">
        <f t="shared" si="14"/>
        <v>2</v>
      </c>
      <c r="AT62">
        <f t="shared" si="4"/>
        <v>3</v>
      </c>
      <c r="AU62">
        <f t="shared" si="5"/>
        <v>3</v>
      </c>
      <c r="AV62" s="19">
        <f t="shared" si="15"/>
        <v>2.3333333333333335</v>
      </c>
      <c r="AW62" s="4"/>
      <c r="AY62">
        <v>4</v>
      </c>
      <c r="AZ62">
        <v>5</v>
      </c>
      <c r="BA62">
        <v>1</v>
      </c>
      <c r="BB62">
        <v>4</v>
      </c>
      <c r="BC62">
        <v>2</v>
      </c>
      <c r="BD62">
        <v>4</v>
      </c>
      <c r="BE62">
        <f t="shared" si="6"/>
        <v>6</v>
      </c>
      <c r="BF62">
        <f t="shared" si="7"/>
        <v>0</v>
      </c>
      <c r="BG62">
        <f t="shared" si="8"/>
        <v>6</v>
      </c>
      <c r="BI62">
        <v>4</v>
      </c>
      <c r="BJ62">
        <v>5</v>
      </c>
      <c r="BK62">
        <v>1</v>
      </c>
      <c r="BL62">
        <v>4</v>
      </c>
      <c r="BM62">
        <v>2</v>
      </c>
      <c r="BN62">
        <v>4</v>
      </c>
      <c r="BO62">
        <f t="shared" si="9"/>
        <v>6</v>
      </c>
      <c r="BP62">
        <f t="shared" si="10"/>
        <v>0</v>
      </c>
      <c r="BQ62">
        <f t="shared" si="11"/>
        <v>6</v>
      </c>
      <c r="BR62">
        <f t="shared" si="12"/>
        <v>12</v>
      </c>
    </row>
    <row r="63" spans="1:70" ht="30" x14ac:dyDescent="0.25">
      <c r="A63" s="2" t="s">
        <v>33</v>
      </c>
      <c r="B63">
        <v>100</v>
      </c>
      <c r="C63">
        <v>224</v>
      </c>
      <c r="D63" s="2" t="s">
        <v>62</v>
      </c>
      <c r="E63" s="1">
        <v>44476.303295763886</v>
      </c>
      <c r="F63" s="2" t="s">
        <v>63</v>
      </c>
      <c r="G63" s="2" t="s">
        <v>63</v>
      </c>
      <c r="H63" s="2" t="s">
        <v>63</v>
      </c>
      <c r="I63" s="2" t="s">
        <v>63</v>
      </c>
      <c r="J63" s="2" t="s">
        <v>64</v>
      </c>
      <c r="K63" s="2" t="s">
        <v>65</v>
      </c>
      <c r="L63" s="2" t="s">
        <v>66</v>
      </c>
      <c r="M63" s="2" t="s">
        <v>74</v>
      </c>
      <c r="N63" s="2" t="s">
        <v>66</v>
      </c>
      <c r="O63" s="2" t="s">
        <v>74</v>
      </c>
      <c r="P63" s="2" t="s">
        <v>74</v>
      </c>
      <c r="Q63" s="2" t="s">
        <v>71</v>
      </c>
      <c r="R63" s="2" t="s">
        <v>69</v>
      </c>
      <c r="S63">
        <v>2</v>
      </c>
      <c r="T63">
        <v>5</v>
      </c>
      <c r="U63">
        <v>4</v>
      </c>
      <c r="V63">
        <v>3</v>
      </c>
      <c r="W63">
        <v>4</v>
      </c>
      <c r="X63">
        <v>2</v>
      </c>
      <c r="Y63" s="2" t="s">
        <v>114</v>
      </c>
      <c r="Z63">
        <v>2</v>
      </c>
      <c r="AA63">
        <v>3</v>
      </c>
      <c r="AB63">
        <v>5</v>
      </c>
      <c r="AC63">
        <v>5</v>
      </c>
      <c r="AD63">
        <v>4</v>
      </c>
      <c r="AE63">
        <v>1</v>
      </c>
      <c r="AF63" s="10" t="s">
        <v>137</v>
      </c>
      <c r="AG63" s="4"/>
      <c r="AH63" s="8">
        <v>61</v>
      </c>
      <c r="AI63">
        <v>0</v>
      </c>
      <c r="AJ63">
        <v>0</v>
      </c>
      <c r="AK63" s="8" t="s">
        <v>315</v>
      </c>
      <c r="AL63" t="s">
        <v>316</v>
      </c>
      <c r="AM63" t="str">
        <f t="shared" si="13"/>
        <v>Honest</v>
      </c>
      <c r="AN63" s="4"/>
      <c r="AO63">
        <f t="shared" si="0"/>
        <v>1</v>
      </c>
      <c r="AP63">
        <f t="shared" si="1"/>
        <v>3</v>
      </c>
      <c r="AQ63">
        <f t="shared" si="2"/>
        <v>1</v>
      </c>
      <c r="AR63">
        <f t="shared" si="3"/>
        <v>3</v>
      </c>
      <c r="AS63">
        <f t="shared" si="14"/>
        <v>5</v>
      </c>
      <c r="AT63">
        <f t="shared" si="4"/>
        <v>3</v>
      </c>
      <c r="AU63">
        <f t="shared" si="5"/>
        <v>2</v>
      </c>
      <c r="AV63" s="19">
        <f t="shared" si="15"/>
        <v>2.5</v>
      </c>
      <c r="AW63" s="4"/>
      <c r="AY63">
        <v>3</v>
      </c>
      <c r="AZ63">
        <v>3</v>
      </c>
      <c r="BA63">
        <v>4</v>
      </c>
      <c r="BB63">
        <v>4</v>
      </c>
      <c r="BC63">
        <v>3</v>
      </c>
      <c r="BD63">
        <v>3</v>
      </c>
      <c r="BE63">
        <f t="shared" si="6"/>
        <v>6</v>
      </c>
      <c r="BF63">
        <f t="shared" si="7"/>
        <v>1</v>
      </c>
      <c r="BG63">
        <f t="shared" si="8"/>
        <v>7</v>
      </c>
      <c r="BI63">
        <v>3</v>
      </c>
      <c r="BJ63">
        <v>3</v>
      </c>
      <c r="BK63">
        <v>4</v>
      </c>
      <c r="BL63">
        <v>4</v>
      </c>
      <c r="BM63">
        <v>3</v>
      </c>
      <c r="BN63">
        <v>3</v>
      </c>
      <c r="BO63">
        <f t="shared" si="9"/>
        <v>6</v>
      </c>
      <c r="BP63">
        <f t="shared" si="10"/>
        <v>1</v>
      </c>
      <c r="BQ63">
        <f t="shared" si="11"/>
        <v>7</v>
      </c>
      <c r="BR63">
        <f t="shared" si="12"/>
        <v>14</v>
      </c>
    </row>
    <row r="64" spans="1:70" ht="30" x14ac:dyDescent="0.25">
      <c r="A64" s="2" t="s">
        <v>33</v>
      </c>
      <c r="B64">
        <v>100</v>
      </c>
      <c r="C64">
        <v>200</v>
      </c>
      <c r="D64" s="2" t="s">
        <v>62</v>
      </c>
      <c r="E64" s="1">
        <v>44476.317856643516</v>
      </c>
      <c r="F64" s="2" t="s">
        <v>63</v>
      </c>
      <c r="G64" s="2" t="s">
        <v>63</v>
      </c>
      <c r="H64" s="2" t="s">
        <v>63</v>
      </c>
      <c r="I64" s="2" t="s">
        <v>63</v>
      </c>
      <c r="J64" s="2" t="s">
        <v>64</v>
      </c>
      <c r="K64" s="2" t="s">
        <v>65</v>
      </c>
      <c r="L64" s="2" t="s">
        <v>66</v>
      </c>
      <c r="M64" s="2" t="s">
        <v>66</v>
      </c>
      <c r="N64" s="2" t="s">
        <v>66</v>
      </c>
      <c r="O64" s="2" t="s">
        <v>78</v>
      </c>
      <c r="P64" s="2" t="s">
        <v>66</v>
      </c>
      <c r="Q64" s="2" t="s">
        <v>66</v>
      </c>
      <c r="R64" s="2" t="s">
        <v>69</v>
      </c>
      <c r="S64">
        <v>2</v>
      </c>
      <c r="T64">
        <v>5</v>
      </c>
      <c r="U64">
        <v>2</v>
      </c>
      <c r="V64">
        <v>2</v>
      </c>
      <c r="W64">
        <v>5</v>
      </c>
      <c r="X64">
        <v>4</v>
      </c>
      <c r="Y64" s="2" t="s">
        <v>68</v>
      </c>
      <c r="Z64">
        <v>5</v>
      </c>
      <c r="AA64">
        <v>5</v>
      </c>
      <c r="AB64">
        <v>0</v>
      </c>
      <c r="AC64">
        <v>0</v>
      </c>
      <c r="AD64">
        <v>5</v>
      </c>
      <c r="AE64">
        <v>5</v>
      </c>
      <c r="AF64" s="10" t="s">
        <v>138</v>
      </c>
      <c r="AG64" s="4"/>
      <c r="AH64" s="8">
        <v>62</v>
      </c>
      <c r="AI64">
        <v>0</v>
      </c>
      <c r="AJ64">
        <v>0</v>
      </c>
      <c r="AK64" s="8" t="s">
        <v>317</v>
      </c>
      <c r="AL64" t="s">
        <v>318</v>
      </c>
      <c r="AM64" t="str">
        <f t="shared" si="13"/>
        <v>Honest</v>
      </c>
      <c r="AN64" s="4"/>
      <c r="AO64">
        <f t="shared" si="0"/>
        <v>1</v>
      </c>
      <c r="AP64">
        <f t="shared" si="1"/>
        <v>1</v>
      </c>
      <c r="AQ64">
        <f t="shared" si="2"/>
        <v>1</v>
      </c>
      <c r="AR64">
        <f t="shared" si="3"/>
        <v>7</v>
      </c>
      <c r="AS64">
        <f t="shared" si="14"/>
        <v>1</v>
      </c>
      <c r="AT64">
        <f t="shared" si="4"/>
        <v>1</v>
      </c>
      <c r="AU64">
        <f t="shared" si="5"/>
        <v>1</v>
      </c>
      <c r="AV64" s="19">
        <f t="shared" si="15"/>
        <v>1</v>
      </c>
      <c r="AW64" s="4"/>
      <c r="AY64">
        <v>4</v>
      </c>
      <c r="AZ64">
        <v>5</v>
      </c>
      <c r="BA64">
        <v>1</v>
      </c>
      <c r="BB64">
        <v>4</v>
      </c>
      <c r="BC64">
        <v>3</v>
      </c>
      <c r="BD64">
        <v>3</v>
      </c>
      <c r="BE64">
        <f t="shared" si="6"/>
        <v>8</v>
      </c>
      <c r="BF64">
        <f t="shared" si="7"/>
        <v>1</v>
      </c>
      <c r="BG64">
        <f t="shared" si="8"/>
        <v>9</v>
      </c>
      <c r="BI64">
        <v>4</v>
      </c>
      <c r="BJ64">
        <v>5</v>
      </c>
      <c r="BK64">
        <v>1</v>
      </c>
      <c r="BL64">
        <v>4</v>
      </c>
      <c r="BM64">
        <v>3</v>
      </c>
      <c r="BN64">
        <v>3</v>
      </c>
      <c r="BO64">
        <f t="shared" si="9"/>
        <v>10</v>
      </c>
      <c r="BP64">
        <f t="shared" si="10"/>
        <v>1</v>
      </c>
      <c r="BQ64">
        <f t="shared" si="11"/>
        <v>11</v>
      </c>
      <c r="BR64">
        <f t="shared" si="12"/>
        <v>20</v>
      </c>
    </row>
    <row r="65" spans="1:70" ht="60" x14ac:dyDescent="0.25">
      <c r="A65" s="2" t="s">
        <v>33</v>
      </c>
      <c r="B65">
        <v>100</v>
      </c>
      <c r="C65">
        <v>592</v>
      </c>
      <c r="D65" s="2" t="s">
        <v>62</v>
      </c>
      <c r="E65" s="1">
        <v>44476.349051064812</v>
      </c>
      <c r="F65" s="2" t="s">
        <v>63</v>
      </c>
      <c r="G65" s="2" t="s">
        <v>63</v>
      </c>
      <c r="H65" s="2" t="s">
        <v>63</v>
      </c>
      <c r="I65" s="2" t="s">
        <v>63</v>
      </c>
      <c r="J65" s="2" t="s">
        <v>64</v>
      </c>
      <c r="K65" s="2" t="s">
        <v>65</v>
      </c>
      <c r="L65" s="2" t="s">
        <v>66</v>
      </c>
      <c r="M65" s="2" t="s">
        <v>66</v>
      </c>
      <c r="N65" s="2" t="s">
        <v>66</v>
      </c>
      <c r="O65" s="2" t="s">
        <v>75</v>
      </c>
      <c r="P65" s="2" t="s">
        <v>71</v>
      </c>
      <c r="Q65" s="2" t="s">
        <v>71</v>
      </c>
      <c r="R65" s="2" t="s">
        <v>72</v>
      </c>
      <c r="S65">
        <v>5</v>
      </c>
      <c r="T65">
        <v>3</v>
      </c>
      <c r="U65">
        <v>3</v>
      </c>
      <c r="V65">
        <v>1</v>
      </c>
      <c r="W65">
        <v>3</v>
      </c>
      <c r="X65">
        <v>5</v>
      </c>
      <c r="Y65" s="2" t="s">
        <v>69</v>
      </c>
      <c r="Z65">
        <v>5</v>
      </c>
      <c r="AA65">
        <v>2</v>
      </c>
      <c r="AB65">
        <v>3</v>
      </c>
      <c r="AC65">
        <v>1</v>
      </c>
      <c r="AD65">
        <v>4</v>
      </c>
      <c r="AE65">
        <v>5</v>
      </c>
      <c r="AF65" s="10" t="s">
        <v>139</v>
      </c>
      <c r="AG65" s="4"/>
      <c r="AH65" s="8">
        <v>63</v>
      </c>
      <c r="AI65">
        <v>0</v>
      </c>
      <c r="AJ65">
        <v>0</v>
      </c>
      <c r="AK65" s="8" t="s">
        <v>315</v>
      </c>
      <c r="AL65" t="s">
        <v>316</v>
      </c>
      <c r="AM65" t="str">
        <f t="shared" si="13"/>
        <v>Honest</v>
      </c>
      <c r="AN65" s="4"/>
      <c r="AO65">
        <f t="shared" si="0"/>
        <v>1</v>
      </c>
      <c r="AP65">
        <f t="shared" si="1"/>
        <v>1</v>
      </c>
      <c r="AQ65">
        <f t="shared" si="2"/>
        <v>1</v>
      </c>
      <c r="AR65">
        <f t="shared" si="3"/>
        <v>4</v>
      </c>
      <c r="AS65">
        <f t="shared" si="14"/>
        <v>4</v>
      </c>
      <c r="AT65">
        <f t="shared" si="4"/>
        <v>2</v>
      </c>
      <c r="AU65">
        <f t="shared" si="5"/>
        <v>2</v>
      </c>
      <c r="AV65" s="19">
        <f t="shared" si="15"/>
        <v>1.8333333333333333</v>
      </c>
      <c r="AW65" s="4"/>
      <c r="AY65">
        <v>3</v>
      </c>
      <c r="AZ65">
        <v>5</v>
      </c>
      <c r="BA65">
        <v>3</v>
      </c>
      <c r="BB65">
        <v>2</v>
      </c>
      <c r="BC65">
        <v>3</v>
      </c>
      <c r="BD65">
        <v>4</v>
      </c>
      <c r="BE65">
        <f t="shared" si="6"/>
        <v>6</v>
      </c>
      <c r="BF65">
        <f t="shared" si="7"/>
        <v>0</v>
      </c>
      <c r="BG65">
        <f t="shared" si="8"/>
        <v>6</v>
      </c>
      <c r="BI65">
        <v>3</v>
      </c>
      <c r="BJ65">
        <v>5</v>
      </c>
      <c r="BK65">
        <v>3</v>
      </c>
      <c r="BL65">
        <v>2</v>
      </c>
      <c r="BM65">
        <v>3</v>
      </c>
      <c r="BN65">
        <v>4</v>
      </c>
      <c r="BO65">
        <f t="shared" si="9"/>
        <v>8</v>
      </c>
      <c r="BP65">
        <f t="shared" si="10"/>
        <v>0</v>
      </c>
      <c r="BQ65">
        <f t="shared" si="11"/>
        <v>8</v>
      </c>
      <c r="BR65">
        <f t="shared" si="12"/>
        <v>14</v>
      </c>
    </row>
    <row r="66" spans="1:70" ht="60" x14ac:dyDescent="0.25">
      <c r="A66" s="2" t="s">
        <v>33</v>
      </c>
      <c r="B66">
        <v>100</v>
      </c>
      <c r="C66">
        <v>382</v>
      </c>
      <c r="D66" s="2" t="s">
        <v>62</v>
      </c>
      <c r="E66" s="1">
        <v>44476.406972233795</v>
      </c>
      <c r="F66" s="2" t="s">
        <v>63</v>
      </c>
      <c r="G66" s="2" t="s">
        <v>63</v>
      </c>
      <c r="H66" s="2" t="s">
        <v>63</v>
      </c>
      <c r="I66" s="2" t="s">
        <v>63</v>
      </c>
      <c r="J66" s="2" t="s">
        <v>64</v>
      </c>
      <c r="K66" s="2" t="s">
        <v>65</v>
      </c>
      <c r="L66" s="2" t="s">
        <v>74</v>
      </c>
      <c r="M66" s="2" t="s">
        <v>71</v>
      </c>
      <c r="N66" s="2" t="s">
        <v>71</v>
      </c>
      <c r="O66" s="2" t="s">
        <v>75</v>
      </c>
      <c r="P66" s="2" t="s">
        <v>74</v>
      </c>
      <c r="Q66" s="2" t="s">
        <v>71</v>
      </c>
      <c r="R66" s="2" t="s">
        <v>69</v>
      </c>
      <c r="S66">
        <v>2</v>
      </c>
      <c r="T66">
        <v>4</v>
      </c>
      <c r="U66">
        <v>5</v>
      </c>
      <c r="V66">
        <v>4</v>
      </c>
      <c r="W66">
        <v>3</v>
      </c>
      <c r="X66">
        <v>2</v>
      </c>
      <c r="Y66" s="2" t="s">
        <v>68</v>
      </c>
      <c r="Z66">
        <v>2</v>
      </c>
      <c r="AA66">
        <v>4</v>
      </c>
      <c r="AB66">
        <v>6</v>
      </c>
      <c r="AC66">
        <v>3</v>
      </c>
      <c r="AD66">
        <v>3</v>
      </c>
      <c r="AE66">
        <v>2</v>
      </c>
      <c r="AF66" s="10" t="s">
        <v>140</v>
      </c>
      <c r="AG66" s="4"/>
      <c r="AH66" s="8">
        <v>64</v>
      </c>
      <c r="AI66">
        <v>2</v>
      </c>
      <c r="AJ66">
        <v>0</v>
      </c>
      <c r="AK66" s="8" t="s">
        <v>317</v>
      </c>
      <c r="AL66" t="s">
        <v>318</v>
      </c>
      <c r="AM66" t="str">
        <f t="shared" si="13"/>
        <v>Honest</v>
      </c>
      <c r="AN66" s="4"/>
      <c r="AO66">
        <f t="shared" si="0"/>
        <v>3</v>
      </c>
      <c r="AP66">
        <f t="shared" si="1"/>
        <v>2</v>
      </c>
      <c r="AQ66">
        <f t="shared" si="2"/>
        <v>2</v>
      </c>
      <c r="AR66">
        <f t="shared" si="3"/>
        <v>4</v>
      </c>
      <c r="AS66">
        <f t="shared" si="14"/>
        <v>4</v>
      </c>
      <c r="AT66">
        <f t="shared" si="4"/>
        <v>3</v>
      </c>
      <c r="AU66">
        <f t="shared" si="5"/>
        <v>2</v>
      </c>
      <c r="AV66" s="19">
        <f t="shared" si="15"/>
        <v>2.6666666666666665</v>
      </c>
      <c r="AW66" s="4"/>
      <c r="AY66">
        <v>4</v>
      </c>
      <c r="AZ66">
        <v>5</v>
      </c>
      <c r="BA66">
        <v>3</v>
      </c>
      <c r="BB66">
        <v>4</v>
      </c>
      <c r="BC66">
        <v>3</v>
      </c>
      <c r="BD66">
        <v>1</v>
      </c>
      <c r="BE66">
        <f t="shared" si="6"/>
        <v>6</v>
      </c>
      <c r="BF66">
        <f t="shared" si="7"/>
        <v>1</v>
      </c>
      <c r="BG66">
        <f t="shared" si="8"/>
        <v>7</v>
      </c>
      <c r="BI66">
        <v>4</v>
      </c>
      <c r="BJ66">
        <v>5</v>
      </c>
      <c r="BK66">
        <v>3</v>
      </c>
      <c r="BL66">
        <v>4</v>
      </c>
      <c r="BM66">
        <v>3</v>
      </c>
      <c r="BN66">
        <v>1</v>
      </c>
      <c r="BO66">
        <f t="shared" si="9"/>
        <v>8</v>
      </c>
      <c r="BP66">
        <f t="shared" si="10"/>
        <v>1</v>
      </c>
      <c r="BQ66">
        <f t="shared" si="11"/>
        <v>9</v>
      </c>
      <c r="BR66">
        <f t="shared" si="12"/>
        <v>16</v>
      </c>
    </row>
    <row r="67" spans="1:70" ht="30" x14ac:dyDescent="0.25">
      <c r="A67" s="2" t="s">
        <v>33</v>
      </c>
      <c r="B67">
        <v>100</v>
      </c>
      <c r="C67">
        <v>180</v>
      </c>
      <c r="D67" s="2" t="s">
        <v>62</v>
      </c>
      <c r="E67" s="1">
        <v>44476.407986261576</v>
      </c>
      <c r="F67" s="2" t="s">
        <v>63</v>
      </c>
      <c r="G67" s="2" t="s">
        <v>63</v>
      </c>
      <c r="H67" s="2" t="s">
        <v>63</v>
      </c>
      <c r="I67" s="2" t="s">
        <v>63</v>
      </c>
      <c r="J67" s="2" t="s">
        <v>64</v>
      </c>
      <c r="K67" s="2" t="s">
        <v>65</v>
      </c>
      <c r="L67" s="2" t="s">
        <v>66</v>
      </c>
      <c r="M67" s="2" t="s">
        <v>74</v>
      </c>
      <c r="N67" s="2" t="s">
        <v>66</v>
      </c>
      <c r="O67" s="2" t="s">
        <v>71</v>
      </c>
      <c r="P67" s="2" t="s">
        <v>71</v>
      </c>
      <c r="Q67" s="2" t="s">
        <v>71</v>
      </c>
      <c r="R67" s="2" t="s">
        <v>72</v>
      </c>
      <c r="S67">
        <v>2</v>
      </c>
      <c r="T67">
        <v>5</v>
      </c>
      <c r="U67">
        <v>2</v>
      </c>
      <c r="V67">
        <v>3</v>
      </c>
      <c r="W67">
        <v>4</v>
      </c>
      <c r="X67">
        <v>4</v>
      </c>
      <c r="Y67" s="2" t="s">
        <v>72</v>
      </c>
      <c r="Z67">
        <v>1</v>
      </c>
      <c r="AA67">
        <v>4</v>
      </c>
      <c r="AB67">
        <v>1</v>
      </c>
      <c r="AC67">
        <v>5</v>
      </c>
      <c r="AD67">
        <v>5</v>
      </c>
      <c r="AE67">
        <v>4</v>
      </c>
      <c r="AF67" s="10" t="s">
        <v>141</v>
      </c>
      <c r="AG67" s="4"/>
      <c r="AH67" s="8">
        <v>65</v>
      </c>
      <c r="AI67">
        <v>0</v>
      </c>
      <c r="AJ67">
        <v>0</v>
      </c>
      <c r="AK67" s="8" t="s">
        <v>315</v>
      </c>
      <c r="AL67" t="s">
        <v>316</v>
      </c>
      <c r="AM67" t="str">
        <f t="shared" si="13"/>
        <v>Honest</v>
      </c>
      <c r="AN67" s="4"/>
      <c r="AO67">
        <f t="shared" ref="AO67:AO130" si="16">IF(L67="Strongly agree",1,IF(L67="Agree",2,IF(L67="Somewhat agree",3,IF(L67="Neither agree nor disagree",4,IF(L67="Somewhat disagree",5,IF(L67="Disagree",6, IF(L67="Strongly disagree",7,"ERROR")))))))</f>
        <v>1</v>
      </c>
      <c r="AP67">
        <f t="shared" ref="AP67:AP130" si="17">IF(M67="Strongly agree",1,IF(M67="Agree",2,IF(M67="Somewhat agree",3,IF(M67="Neither agree nor disagree",4,IF(M67="Somewhat disagree",5,IF(M67="Disagree",6, IF(M67="Strongly disagree",7,"ERROR")))))))</f>
        <v>3</v>
      </c>
      <c r="AQ67">
        <f t="shared" ref="AQ67:AQ130" si="18">IF(N67="Strongly agree",1,IF(N67="Agree",2,IF(N67="Somewhat agree",3,IF(N67="Neither agree nor disagree",4,IF(N67="Somewhat disagree",5,IF(N67="Disagree",6, IF(N67="Strongly disagree",7,"ERROR")))))))</f>
        <v>1</v>
      </c>
      <c r="AR67">
        <f t="shared" ref="AR67:AR130" si="19">IF(O67="Strongly agree",1,IF(O67="Agree",2,IF(O67="Somewhat agree",3,IF(O67="Neither agree nor disagree",4,IF(O67="Somewhat disagree",5,IF(O67="Disagree",6, IF(O67="Strongly disagree",7,"ERROR")))))))</f>
        <v>2</v>
      </c>
      <c r="AS67">
        <f t="shared" si="14"/>
        <v>6</v>
      </c>
      <c r="AT67">
        <f t="shared" ref="AT67:AT130" si="20">IF(P67="Strongly agree",1,IF(P67="Agree",2,IF(P67="Somewhat agree",3,IF(P67="Neither agree nor disagree",4,IF(P67="Somewhat disagree",5,IF(P67="Disagree",6, IF(P67="Strongly disagree",7,"ERROR")))))))</f>
        <v>2</v>
      </c>
      <c r="AU67">
        <f t="shared" ref="AU67:AU130" si="21">IF(Q67="Strongly agree",1,IF(Q67="Agree",2,IF(Q67="Somewhat agree",3,IF(Q67="Neither agree nor disagree",4,IF(Q67="Somewhat disagree",5,IF(Q67="Disagree",6, IF(Q67="Strongly disagree",7,"ERROR")))))))</f>
        <v>2</v>
      </c>
      <c r="AV67" s="19">
        <f t="shared" si="15"/>
        <v>2.5</v>
      </c>
      <c r="AW67" s="4"/>
      <c r="AY67">
        <v>4</v>
      </c>
      <c r="AZ67">
        <v>3</v>
      </c>
      <c r="BA67">
        <v>4</v>
      </c>
      <c r="BB67">
        <v>4</v>
      </c>
      <c r="BC67">
        <v>3</v>
      </c>
      <c r="BD67">
        <v>2</v>
      </c>
      <c r="BE67">
        <f t="shared" ref="BE67:BE130" si="22">SUM(ABS(AY67-S67),ABS(AZ67-T67),ABS(BA67-U67),ABS(BB67-V67),ABS(BC67-W67),ABS(BD67-X67))</f>
        <v>10</v>
      </c>
      <c r="BF67">
        <f t="shared" ref="BF67:BF130" si="23">IF(R67="White",0,1)</f>
        <v>0</v>
      </c>
      <c r="BG67">
        <f t="shared" ref="BG67:BG130" si="24">SUM(BE67:BF67)</f>
        <v>10</v>
      </c>
      <c r="BI67">
        <v>4</v>
      </c>
      <c r="BJ67">
        <v>3</v>
      </c>
      <c r="BK67">
        <v>4</v>
      </c>
      <c r="BL67">
        <v>4</v>
      </c>
      <c r="BM67">
        <v>3</v>
      </c>
      <c r="BN67">
        <v>2</v>
      </c>
      <c r="BO67">
        <f t="shared" ref="BO67:BO130" si="25">SUM(ABS(BI67-Z67),ABS(BJ67-AA67),ABS(BK67-AB67),ABS(BL67-AC67),ABS(BM67-AD67),ABS(BN67-AE67))</f>
        <v>12</v>
      </c>
      <c r="BP67">
        <f t="shared" ref="BP67:BP130" si="26">IF(Y67="Black",0,1)</f>
        <v>1</v>
      </c>
      <c r="BQ67">
        <f t="shared" ref="BQ67:BQ130" si="27">SUM(BO67:BP67)</f>
        <v>13</v>
      </c>
      <c r="BR67">
        <f t="shared" ref="BR67:BR130" si="28">SUM(BG67,BQ67)</f>
        <v>23</v>
      </c>
    </row>
    <row r="68" spans="1:70" ht="60" x14ac:dyDescent="0.25">
      <c r="A68" s="2" t="s">
        <v>33</v>
      </c>
      <c r="B68">
        <v>100</v>
      </c>
      <c r="C68">
        <v>155</v>
      </c>
      <c r="D68" s="2" t="s">
        <v>62</v>
      </c>
      <c r="E68" s="1">
        <v>44476.41583607639</v>
      </c>
      <c r="F68" s="2" t="s">
        <v>63</v>
      </c>
      <c r="G68" s="2" t="s">
        <v>63</v>
      </c>
      <c r="H68" s="2" t="s">
        <v>63</v>
      </c>
      <c r="I68" s="2" t="s">
        <v>63</v>
      </c>
      <c r="J68" s="2" t="s">
        <v>64</v>
      </c>
      <c r="K68" s="2" t="s">
        <v>65</v>
      </c>
      <c r="L68" s="2" t="s">
        <v>74</v>
      </c>
      <c r="M68" s="2" t="s">
        <v>71</v>
      </c>
      <c r="N68" s="2" t="s">
        <v>71</v>
      </c>
      <c r="O68" s="2" t="s">
        <v>75</v>
      </c>
      <c r="P68" s="2" t="s">
        <v>71</v>
      </c>
      <c r="Q68" s="2" t="s">
        <v>71</v>
      </c>
      <c r="R68" s="2" t="s">
        <v>69</v>
      </c>
      <c r="S68">
        <v>6</v>
      </c>
      <c r="T68">
        <v>3</v>
      </c>
      <c r="U68">
        <v>3</v>
      </c>
      <c r="V68">
        <v>3</v>
      </c>
      <c r="W68">
        <v>3</v>
      </c>
      <c r="X68">
        <v>2</v>
      </c>
      <c r="Y68" s="2" t="s">
        <v>69</v>
      </c>
      <c r="Z68">
        <v>6</v>
      </c>
      <c r="AA68">
        <v>3</v>
      </c>
      <c r="AB68">
        <v>3</v>
      </c>
      <c r="AC68">
        <v>3</v>
      </c>
      <c r="AD68">
        <v>3</v>
      </c>
      <c r="AE68">
        <v>2</v>
      </c>
      <c r="AF68" s="10" t="s">
        <v>142</v>
      </c>
      <c r="AG68" s="4"/>
      <c r="AH68" s="8">
        <v>66</v>
      </c>
      <c r="AI68">
        <v>0</v>
      </c>
      <c r="AJ68">
        <v>0</v>
      </c>
      <c r="AK68" s="8" t="s">
        <v>315</v>
      </c>
      <c r="AL68" t="s">
        <v>316</v>
      </c>
      <c r="AM68" t="str">
        <f t="shared" ref="AM68:AM131" si="29">IF(AL68="Honest unLikely-cheat","Honest",IF(AL68="Honest Likely-cheat","Honest","Lie"))</f>
        <v>Honest</v>
      </c>
      <c r="AN68" s="4"/>
      <c r="AO68">
        <f t="shared" si="16"/>
        <v>3</v>
      </c>
      <c r="AP68">
        <f t="shared" si="17"/>
        <v>2</v>
      </c>
      <c r="AQ68">
        <f t="shared" si="18"/>
        <v>2</v>
      </c>
      <c r="AR68">
        <f t="shared" si="19"/>
        <v>4</v>
      </c>
      <c r="AS68">
        <f t="shared" ref="AS68:AS131" si="30">8-AR68</f>
        <v>4</v>
      </c>
      <c r="AT68">
        <f t="shared" si="20"/>
        <v>2</v>
      </c>
      <c r="AU68">
        <f t="shared" si="21"/>
        <v>2</v>
      </c>
      <c r="AV68" s="19">
        <f t="shared" ref="AV68:AV131" si="31">AVERAGE(AO68:AQ68,AS68,AT68,AU68)</f>
        <v>2.5</v>
      </c>
      <c r="AW68" s="4"/>
      <c r="AY68">
        <v>5</v>
      </c>
      <c r="AZ68">
        <v>3</v>
      </c>
      <c r="BA68">
        <v>2</v>
      </c>
      <c r="BB68">
        <v>3</v>
      </c>
      <c r="BC68">
        <v>5</v>
      </c>
      <c r="BD68">
        <v>2</v>
      </c>
      <c r="BE68">
        <f t="shared" si="22"/>
        <v>4</v>
      </c>
      <c r="BF68">
        <f t="shared" si="23"/>
        <v>1</v>
      </c>
      <c r="BG68">
        <f t="shared" si="24"/>
        <v>5</v>
      </c>
      <c r="BI68">
        <v>5</v>
      </c>
      <c r="BJ68">
        <v>3</v>
      </c>
      <c r="BK68">
        <v>2</v>
      </c>
      <c r="BL68">
        <v>3</v>
      </c>
      <c r="BM68">
        <v>5</v>
      </c>
      <c r="BN68">
        <v>2</v>
      </c>
      <c r="BO68">
        <f t="shared" si="25"/>
        <v>4</v>
      </c>
      <c r="BP68">
        <f t="shared" si="26"/>
        <v>0</v>
      </c>
      <c r="BQ68">
        <f t="shared" si="27"/>
        <v>4</v>
      </c>
      <c r="BR68">
        <f t="shared" si="28"/>
        <v>9</v>
      </c>
    </row>
    <row r="69" spans="1:70" ht="30" x14ac:dyDescent="0.25">
      <c r="A69" s="2" t="s">
        <v>33</v>
      </c>
      <c r="B69">
        <v>100</v>
      </c>
      <c r="C69">
        <v>220</v>
      </c>
      <c r="D69" s="2" t="s">
        <v>62</v>
      </c>
      <c r="E69" s="1">
        <v>44476.427737511571</v>
      </c>
      <c r="F69" s="2" t="s">
        <v>63</v>
      </c>
      <c r="G69" s="2" t="s">
        <v>63</v>
      </c>
      <c r="H69" s="2" t="s">
        <v>63</v>
      </c>
      <c r="I69" s="2" t="s">
        <v>63</v>
      </c>
      <c r="J69" s="2" t="s">
        <v>64</v>
      </c>
      <c r="K69" s="2" t="s">
        <v>65</v>
      </c>
      <c r="L69" s="2" t="s">
        <v>66</v>
      </c>
      <c r="M69" s="2" t="s">
        <v>66</v>
      </c>
      <c r="N69" s="2" t="s">
        <v>66</v>
      </c>
      <c r="O69" s="2" t="s">
        <v>67</v>
      </c>
      <c r="P69" s="2" t="s">
        <v>66</v>
      </c>
      <c r="Q69" s="2" t="s">
        <v>66</v>
      </c>
      <c r="R69" s="2" t="s">
        <v>72</v>
      </c>
      <c r="S69">
        <v>4</v>
      </c>
      <c r="T69">
        <v>5</v>
      </c>
      <c r="U69">
        <v>3</v>
      </c>
      <c r="V69">
        <v>2</v>
      </c>
      <c r="W69">
        <v>1</v>
      </c>
      <c r="X69">
        <v>5</v>
      </c>
      <c r="Y69" s="2" t="s">
        <v>72</v>
      </c>
      <c r="Z69">
        <v>3</v>
      </c>
      <c r="AA69">
        <v>4</v>
      </c>
      <c r="AB69">
        <v>4</v>
      </c>
      <c r="AC69">
        <v>2</v>
      </c>
      <c r="AD69">
        <v>2</v>
      </c>
      <c r="AE69">
        <v>5</v>
      </c>
      <c r="AF69" s="10" t="s">
        <v>143</v>
      </c>
      <c r="AG69" s="4"/>
      <c r="AH69" s="8">
        <v>67</v>
      </c>
      <c r="AI69">
        <v>1</v>
      </c>
      <c r="AJ69">
        <v>7</v>
      </c>
      <c r="AK69" s="8" t="s">
        <v>315</v>
      </c>
      <c r="AL69" t="s">
        <v>319</v>
      </c>
      <c r="AM69" t="str">
        <f t="shared" si="29"/>
        <v>Lie</v>
      </c>
      <c r="AN69" s="4"/>
      <c r="AO69">
        <f t="shared" si="16"/>
        <v>1</v>
      </c>
      <c r="AP69">
        <f t="shared" si="17"/>
        <v>1</v>
      </c>
      <c r="AQ69">
        <f t="shared" si="18"/>
        <v>1</v>
      </c>
      <c r="AR69">
        <f t="shared" si="19"/>
        <v>6</v>
      </c>
      <c r="AS69">
        <f t="shared" si="30"/>
        <v>2</v>
      </c>
      <c r="AT69">
        <f t="shared" si="20"/>
        <v>1</v>
      </c>
      <c r="AU69">
        <f t="shared" si="21"/>
        <v>1</v>
      </c>
      <c r="AV69" s="19">
        <f t="shared" si="31"/>
        <v>1.1666666666666667</v>
      </c>
      <c r="AW69" s="4"/>
      <c r="AY69">
        <v>0</v>
      </c>
      <c r="AZ69">
        <v>5</v>
      </c>
      <c r="BA69">
        <v>4</v>
      </c>
      <c r="BB69">
        <v>1</v>
      </c>
      <c r="BC69">
        <v>2</v>
      </c>
      <c r="BD69">
        <v>3</v>
      </c>
      <c r="BE69">
        <f t="shared" si="22"/>
        <v>9</v>
      </c>
      <c r="BF69">
        <f t="shared" si="23"/>
        <v>0</v>
      </c>
      <c r="BG69">
        <f t="shared" si="24"/>
        <v>9</v>
      </c>
      <c r="BI69">
        <v>1</v>
      </c>
      <c r="BJ69">
        <v>7</v>
      </c>
      <c r="BK69">
        <v>4</v>
      </c>
      <c r="BL69">
        <v>1</v>
      </c>
      <c r="BM69">
        <v>3</v>
      </c>
      <c r="BN69">
        <v>4</v>
      </c>
      <c r="BO69">
        <f t="shared" si="25"/>
        <v>8</v>
      </c>
      <c r="BP69">
        <f t="shared" si="26"/>
        <v>1</v>
      </c>
      <c r="BQ69">
        <f t="shared" si="27"/>
        <v>9</v>
      </c>
      <c r="BR69">
        <f t="shared" si="28"/>
        <v>18</v>
      </c>
    </row>
    <row r="70" spans="1:70" ht="30" x14ac:dyDescent="0.25">
      <c r="A70" s="2" t="s">
        <v>33</v>
      </c>
      <c r="B70">
        <v>100</v>
      </c>
      <c r="C70">
        <v>272</v>
      </c>
      <c r="D70" s="2" t="s">
        <v>62</v>
      </c>
      <c r="E70" s="1">
        <v>44476.428229039353</v>
      </c>
      <c r="F70" s="2" t="s">
        <v>63</v>
      </c>
      <c r="G70" s="2" t="s">
        <v>63</v>
      </c>
      <c r="H70" s="2" t="s">
        <v>63</v>
      </c>
      <c r="I70" s="2" t="s">
        <v>63</v>
      </c>
      <c r="J70" s="2" t="s">
        <v>64</v>
      </c>
      <c r="K70" s="2" t="s">
        <v>65</v>
      </c>
      <c r="L70" s="2" t="s">
        <v>66</v>
      </c>
      <c r="M70" s="2" t="s">
        <v>71</v>
      </c>
      <c r="N70" s="2" t="s">
        <v>66</v>
      </c>
      <c r="O70" s="2" t="s">
        <v>67</v>
      </c>
      <c r="P70" s="2" t="s">
        <v>71</v>
      </c>
      <c r="Q70" s="2" t="s">
        <v>71</v>
      </c>
      <c r="R70" s="2" t="s">
        <v>68</v>
      </c>
      <c r="S70">
        <v>4</v>
      </c>
      <c r="T70">
        <v>5</v>
      </c>
      <c r="U70">
        <v>0</v>
      </c>
      <c r="V70">
        <v>4</v>
      </c>
      <c r="W70">
        <v>3</v>
      </c>
      <c r="X70">
        <v>4</v>
      </c>
      <c r="Y70" s="2" t="s">
        <v>69</v>
      </c>
      <c r="Z70">
        <v>3</v>
      </c>
      <c r="AA70">
        <v>4</v>
      </c>
      <c r="AB70">
        <v>0</v>
      </c>
      <c r="AC70">
        <v>4</v>
      </c>
      <c r="AD70">
        <v>5</v>
      </c>
      <c r="AE70">
        <v>4</v>
      </c>
      <c r="AF70" s="10" t="s">
        <v>144</v>
      </c>
      <c r="AG70" s="4"/>
      <c r="AH70" s="8">
        <v>68</v>
      </c>
      <c r="AI70">
        <v>0</v>
      </c>
      <c r="AJ70">
        <v>0</v>
      </c>
      <c r="AK70" s="8" t="s">
        <v>315</v>
      </c>
      <c r="AL70" t="s">
        <v>316</v>
      </c>
      <c r="AM70" t="str">
        <f t="shared" si="29"/>
        <v>Honest</v>
      </c>
      <c r="AN70" s="4"/>
      <c r="AO70">
        <f t="shared" si="16"/>
        <v>1</v>
      </c>
      <c r="AP70">
        <f t="shared" si="17"/>
        <v>2</v>
      </c>
      <c r="AQ70">
        <f t="shared" si="18"/>
        <v>1</v>
      </c>
      <c r="AR70">
        <f t="shared" si="19"/>
        <v>6</v>
      </c>
      <c r="AS70">
        <f t="shared" si="30"/>
        <v>2</v>
      </c>
      <c r="AT70">
        <f t="shared" si="20"/>
        <v>2</v>
      </c>
      <c r="AU70">
        <f t="shared" si="21"/>
        <v>2</v>
      </c>
      <c r="AV70" s="19">
        <f t="shared" si="31"/>
        <v>1.6666666666666667</v>
      </c>
      <c r="AW70" s="4"/>
      <c r="AY70">
        <v>1</v>
      </c>
      <c r="AZ70">
        <v>0</v>
      </c>
      <c r="BA70">
        <v>6</v>
      </c>
      <c r="BB70">
        <v>5</v>
      </c>
      <c r="BC70">
        <v>3</v>
      </c>
      <c r="BD70">
        <v>5</v>
      </c>
      <c r="BE70">
        <f t="shared" si="22"/>
        <v>16</v>
      </c>
      <c r="BF70">
        <f t="shared" si="23"/>
        <v>1</v>
      </c>
      <c r="BG70">
        <f t="shared" si="24"/>
        <v>17</v>
      </c>
      <c r="BI70">
        <v>1</v>
      </c>
      <c r="BJ70">
        <v>0</v>
      </c>
      <c r="BK70">
        <v>6</v>
      </c>
      <c r="BL70">
        <v>5</v>
      </c>
      <c r="BM70">
        <v>3</v>
      </c>
      <c r="BN70">
        <v>5</v>
      </c>
      <c r="BO70">
        <f t="shared" si="25"/>
        <v>16</v>
      </c>
      <c r="BP70">
        <f t="shared" si="26"/>
        <v>0</v>
      </c>
      <c r="BQ70">
        <f t="shared" si="27"/>
        <v>16</v>
      </c>
      <c r="BR70">
        <f t="shared" si="28"/>
        <v>33</v>
      </c>
    </row>
    <row r="71" spans="1:70" ht="30" x14ac:dyDescent="0.25">
      <c r="A71" s="2" t="s">
        <v>33</v>
      </c>
      <c r="B71">
        <v>100</v>
      </c>
      <c r="C71">
        <v>139</v>
      </c>
      <c r="D71" s="2" t="s">
        <v>62</v>
      </c>
      <c r="E71" s="1">
        <v>44476.464204189811</v>
      </c>
      <c r="F71" s="2" t="s">
        <v>63</v>
      </c>
      <c r="G71" s="2" t="s">
        <v>63</v>
      </c>
      <c r="H71" s="2" t="s">
        <v>63</v>
      </c>
      <c r="I71" s="2" t="s">
        <v>63</v>
      </c>
      <c r="J71" s="2" t="s">
        <v>64</v>
      </c>
      <c r="K71" s="2" t="s">
        <v>65</v>
      </c>
      <c r="L71" s="2" t="s">
        <v>66</v>
      </c>
      <c r="M71" s="2" t="s">
        <v>66</v>
      </c>
      <c r="N71" s="2" t="s">
        <v>66</v>
      </c>
      <c r="O71" s="2" t="s">
        <v>78</v>
      </c>
      <c r="P71" s="2" t="s">
        <v>71</v>
      </c>
      <c r="Q71" s="2" t="s">
        <v>71</v>
      </c>
      <c r="R71" s="2" t="s">
        <v>72</v>
      </c>
      <c r="S71">
        <v>3</v>
      </c>
      <c r="T71">
        <v>4</v>
      </c>
      <c r="U71">
        <v>3</v>
      </c>
      <c r="V71">
        <v>2</v>
      </c>
      <c r="W71">
        <v>4</v>
      </c>
      <c r="X71">
        <v>4</v>
      </c>
      <c r="Y71" s="2" t="s">
        <v>72</v>
      </c>
      <c r="Z71">
        <v>4</v>
      </c>
      <c r="AA71">
        <v>3</v>
      </c>
      <c r="AB71">
        <v>2</v>
      </c>
      <c r="AC71">
        <v>3</v>
      </c>
      <c r="AD71">
        <v>4</v>
      </c>
      <c r="AE71">
        <v>4</v>
      </c>
      <c r="AF71" s="10" t="s">
        <v>145</v>
      </c>
      <c r="AG71" s="4"/>
      <c r="AH71" s="8">
        <v>69</v>
      </c>
      <c r="AI71">
        <v>0</v>
      </c>
      <c r="AJ71">
        <v>0</v>
      </c>
      <c r="AK71" s="8" t="s">
        <v>317</v>
      </c>
      <c r="AL71" t="s">
        <v>318</v>
      </c>
      <c r="AM71" t="str">
        <f t="shared" si="29"/>
        <v>Honest</v>
      </c>
      <c r="AN71" s="4"/>
      <c r="AO71">
        <f t="shared" si="16"/>
        <v>1</v>
      </c>
      <c r="AP71">
        <f t="shared" si="17"/>
        <v>1</v>
      </c>
      <c r="AQ71">
        <f t="shared" si="18"/>
        <v>1</v>
      </c>
      <c r="AR71">
        <f t="shared" si="19"/>
        <v>7</v>
      </c>
      <c r="AS71">
        <f t="shared" si="30"/>
        <v>1</v>
      </c>
      <c r="AT71">
        <f t="shared" si="20"/>
        <v>2</v>
      </c>
      <c r="AU71">
        <f t="shared" si="21"/>
        <v>2</v>
      </c>
      <c r="AV71" s="19">
        <f t="shared" si="31"/>
        <v>1.3333333333333333</v>
      </c>
      <c r="AW71" s="4"/>
      <c r="AY71">
        <v>4</v>
      </c>
      <c r="AZ71">
        <v>4</v>
      </c>
      <c r="BA71">
        <v>5</v>
      </c>
      <c r="BB71">
        <v>3</v>
      </c>
      <c r="BC71">
        <v>1</v>
      </c>
      <c r="BD71">
        <v>3</v>
      </c>
      <c r="BE71">
        <f t="shared" si="22"/>
        <v>8</v>
      </c>
      <c r="BF71">
        <f t="shared" si="23"/>
        <v>0</v>
      </c>
      <c r="BG71">
        <f t="shared" si="24"/>
        <v>8</v>
      </c>
      <c r="BI71">
        <v>4</v>
      </c>
      <c r="BJ71">
        <v>4</v>
      </c>
      <c r="BK71">
        <v>5</v>
      </c>
      <c r="BL71">
        <v>3</v>
      </c>
      <c r="BM71">
        <v>1</v>
      </c>
      <c r="BN71">
        <v>3</v>
      </c>
      <c r="BO71">
        <f t="shared" si="25"/>
        <v>8</v>
      </c>
      <c r="BP71">
        <f t="shared" si="26"/>
        <v>1</v>
      </c>
      <c r="BQ71">
        <f t="shared" si="27"/>
        <v>9</v>
      </c>
      <c r="BR71">
        <f t="shared" si="28"/>
        <v>17</v>
      </c>
    </row>
    <row r="72" spans="1:70" ht="45" x14ac:dyDescent="0.25">
      <c r="A72" s="2" t="s">
        <v>33</v>
      </c>
      <c r="B72">
        <v>100</v>
      </c>
      <c r="C72">
        <v>239</v>
      </c>
      <c r="D72" s="2" t="s">
        <v>62</v>
      </c>
      <c r="E72" s="1">
        <v>44476.56975072917</v>
      </c>
      <c r="F72" s="2" t="s">
        <v>63</v>
      </c>
      <c r="G72" s="2" t="s">
        <v>63</v>
      </c>
      <c r="H72" s="2" t="s">
        <v>63</v>
      </c>
      <c r="I72" s="2" t="s">
        <v>63</v>
      </c>
      <c r="J72" s="2" t="s">
        <v>64</v>
      </c>
      <c r="K72" s="2" t="s">
        <v>65</v>
      </c>
      <c r="L72" s="2" t="s">
        <v>74</v>
      </c>
      <c r="M72" s="2" t="s">
        <v>71</v>
      </c>
      <c r="N72" s="2" t="s">
        <v>71</v>
      </c>
      <c r="O72" s="2" t="s">
        <v>81</v>
      </c>
      <c r="P72" s="2" t="s">
        <v>71</v>
      </c>
      <c r="Q72" s="2" t="s">
        <v>74</v>
      </c>
      <c r="R72" s="2" t="s">
        <v>68</v>
      </c>
      <c r="S72">
        <v>3</v>
      </c>
      <c r="T72">
        <v>5</v>
      </c>
      <c r="U72">
        <v>4</v>
      </c>
      <c r="V72">
        <v>1</v>
      </c>
      <c r="W72">
        <v>3</v>
      </c>
      <c r="X72">
        <v>4</v>
      </c>
      <c r="Y72" s="2" t="s">
        <v>69</v>
      </c>
      <c r="Z72">
        <v>2</v>
      </c>
      <c r="AA72">
        <v>6</v>
      </c>
      <c r="AB72">
        <v>3</v>
      </c>
      <c r="AC72">
        <v>1</v>
      </c>
      <c r="AD72">
        <v>3</v>
      </c>
      <c r="AE72">
        <v>5</v>
      </c>
      <c r="AF72" s="10" t="s">
        <v>146</v>
      </c>
      <c r="AG72" s="4"/>
      <c r="AH72" s="8">
        <v>70</v>
      </c>
      <c r="AI72">
        <v>0</v>
      </c>
      <c r="AJ72">
        <v>0</v>
      </c>
      <c r="AK72" s="8" t="s">
        <v>317</v>
      </c>
      <c r="AL72" t="s">
        <v>318</v>
      </c>
      <c r="AM72" t="str">
        <f t="shared" si="29"/>
        <v>Honest</v>
      </c>
      <c r="AN72" s="4"/>
      <c r="AO72">
        <f t="shared" si="16"/>
        <v>3</v>
      </c>
      <c r="AP72">
        <f t="shared" si="17"/>
        <v>2</v>
      </c>
      <c r="AQ72">
        <f t="shared" si="18"/>
        <v>2</v>
      </c>
      <c r="AR72">
        <f t="shared" si="19"/>
        <v>5</v>
      </c>
      <c r="AS72">
        <f t="shared" si="30"/>
        <v>3</v>
      </c>
      <c r="AT72">
        <f t="shared" si="20"/>
        <v>2</v>
      </c>
      <c r="AU72">
        <f t="shared" si="21"/>
        <v>3</v>
      </c>
      <c r="AV72" s="19">
        <f t="shared" si="31"/>
        <v>2.5</v>
      </c>
      <c r="AW72" s="4"/>
      <c r="AY72">
        <v>6</v>
      </c>
      <c r="AZ72">
        <v>2</v>
      </c>
      <c r="BA72">
        <v>7</v>
      </c>
      <c r="BB72">
        <v>1</v>
      </c>
      <c r="BC72">
        <v>1</v>
      </c>
      <c r="BD72">
        <v>3</v>
      </c>
      <c r="BE72">
        <f t="shared" si="22"/>
        <v>12</v>
      </c>
      <c r="BF72">
        <f t="shared" si="23"/>
        <v>1</v>
      </c>
      <c r="BG72">
        <f t="shared" si="24"/>
        <v>13</v>
      </c>
      <c r="BI72">
        <v>6</v>
      </c>
      <c r="BJ72">
        <v>2</v>
      </c>
      <c r="BK72">
        <v>7</v>
      </c>
      <c r="BL72">
        <v>1</v>
      </c>
      <c r="BM72">
        <v>1</v>
      </c>
      <c r="BN72">
        <v>3</v>
      </c>
      <c r="BO72">
        <f t="shared" si="25"/>
        <v>16</v>
      </c>
      <c r="BP72">
        <f t="shared" si="26"/>
        <v>0</v>
      </c>
      <c r="BQ72">
        <f t="shared" si="27"/>
        <v>16</v>
      </c>
      <c r="BR72">
        <f t="shared" si="28"/>
        <v>29</v>
      </c>
    </row>
    <row r="73" spans="1:70" ht="45" x14ac:dyDescent="0.25">
      <c r="A73" s="2" t="s">
        <v>33</v>
      </c>
      <c r="B73">
        <v>100</v>
      </c>
      <c r="C73">
        <v>215</v>
      </c>
      <c r="D73" s="2" t="s">
        <v>62</v>
      </c>
      <c r="E73" s="1">
        <v>44476.822114328701</v>
      </c>
      <c r="F73" s="2" t="s">
        <v>63</v>
      </c>
      <c r="G73" s="2" t="s">
        <v>63</v>
      </c>
      <c r="H73" s="2" t="s">
        <v>63</v>
      </c>
      <c r="I73" s="2" t="s">
        <v>63</v>
      </c>
      <c r="J73" s="2" t="s">
        <v>64</v>
      </c>
      <c r="K73" s="2" t="s">
        <v>65</v>
      </c>
      <c r="L73" s="2" t="s">
        <v>67</v>
      </c>
      <c r="M73" s="2" t="s">
        <v>81</v>
      </c>
      <c r="N73" s="2" t="s">
        <v>81</v>
      </c>
      <c r="O73" s="2" t="s">
        <v>74</v>
      </c>
      <c r="P73" s="2" t="s">
        <v>81</v>
      </c>
      <c r="Q73" s="2" t="s">
        <v>81</v>
      </c>
      <c r="R73" s="2" t="s">
        <v>69</v>
      </c>
      <c r="S73">
        <v>2</v>
      </c>
      <c r="T73">
        <v>5</v>
      </c>
      <c r="U73">
        <v>2</v>
      </c>
      <c r="V73">
        <v>6</v>
      </c>
      <c r="W73">
        <v>3</v>
      </c>
      <c r="X73">
        <v>2</v>
      </c>
      <c r="Y73" s="2" t="s">
        <v>69</v>
      </c>
      <c r="Z73">
        <v>2</v>
      </c>
      <c r="AA73">
        <v>4</v>
      </c>
      <c r="AB73">
        <v>2</v>
      </c>
      <c r="AC73">
        <v>5</v>
      </c>
      <c r="AD73">
        <v>3</v>
      </c>
      <c r="AE73">
        <v>4</v>
      </c>
      <c r="AF73" s="10" t="s">
        <v>147</v>
      </c>
      <c r="AG73" s="4"/>
      <c r="AH73" s="8">
        <v>71</v>
      </c>
      <c r="AI73">
        <v>0</v>
      </c>
      <c r="AJ73">
        <v>0</v>
      </c>
      <c r="AK73" s="8" t="s">
        <v>317</v>
      </c>
      <c r="AL73" t="s">
        <v>318</v>
      </c>
      <c r="AM73" t="str">
        <f t="shared" si="29"/>
        <v>Honest</v>
      </c>
      <c r="AN73" s="4"/>
      <c r="AO73">
        <f t="shared" si="16"/>
        <v>6</v>
      </c>
      <c r="AP73">
        <f t="shared" si="17"/>
        <v>5</v>
      </c>
      <c r="AQ73">
        <f t="shared" si="18"/>
        <v>5</v>
      </c>
      <c r="AR73">
        <f t="shared" si="19"/>
        <v>3</v>
      </c>
      <c r="AS73">
        <f t="shared" si="30"/>
        <v>5</v>
      </c>
      <c r="AT73">
        <f t="shared" si="20"/>
        <v>5</v>
      </c>
      <c r="AU73">
        <f t="shared" si="21"/>
        <v>5</v>
      </c>
      <c r="AV73" s="19">
        <f t="shared" si="31"/>
        <v>5.166666666666667</v>
      </c>
      <c r="AW73" s="4"/>
      <c r="AY73">
        <v>3</v>
      </c>
      <c r="AZ73">
        <v>3</v>
      </c>
      <c r="BA73">
        <v>7</v>
      </c>
      <c r="BB73">
        <v>2</v>
      </c>
      <c r="BC73">
        <v>1</v>
      </c>
      <c r="BD73">
        <v>4</v>
      </c>
      <c r="BE73">
        <f t="shared" si="22"/>
        <v>16</v>
      </c>
      <c r="BF73">
        <f t="shared" si="23"/>
        <v>1</v>
      </c>
      <c r="BG73">
        <f t="shared" si="24"/>
        <v>17</v>
      </c>
      <c r="BI73">
        <v>3</v>
      </c>
      <c r="BJ73">
        <v>3</v>
      </c>
      <c r="BK73">
        <v>7</v>
      </c>
      <c r="BL73">
        <v>2</v>
      </c>
      <c r="BM73">
        <v>1</v>
      </c>
      <c r="BN73">
        <v>4</v>
      </c>
      <c r="BO73">
        <f t="shared" si="25"/>
        <v>12</v>
      </c>
      <c r="BP73">
        <f t="shared" si="26"/>
        <v>0</v>
      </c>
      <c r="BQ73">
        <f t="shared" si="27"/>
        <v>12</v>
      </c>
      <c r="BR73">
        <f t="shared" si="28"/>
        <v>29</v>
      </c>
    </row>
    <row r="74" spans="1:70" ht="30" x14ac:dyDescent="0.25">
      <c r="A74" s="2" t="s">
        <v>33</v>
      </c>
      <c r="B74">
        <v>100</v>
      </c>
      <c r="C74">
        <v>345</v>
      </c>
      <c r="D74" s="2" t="s">
        <v>62</v>
      </c>
      <c r="E74" s="1">
        <v>44476.994145856479</v>
      </c>
      <c r="F74" s="2" t="s">
        <v>63</v>
      </c>
      <c r="G74" s="2" t="s">
        <v>63</v>
      </c>
      <c r="H74" s="2" t="s">
        <v>63</v>
      </c>
      <c r="I74" s="2" t="s">
        <v>63</v>
      </c>
      <c r="J74" s="2" t="s">
        <v>64</v>
      </c>
      <c r="K74" s="2" t="s">
        <v>65</v>
      </c>
      <c r="L74" s="2" t="s">
        <v>71</v>
      </c>
      <c r="M74" s="2" t="s">
        <v>71</v>
      </c>
      <c r="N74" s="2" t="s">
        <v>71</v>
      </c>
      <c r="O74" s="2" t="s">
        <v>74</v>
      </c>
      <c r="P74" s="2" t="s">
        <v>74</v>
      </c>
      <c r="Q74" s="2" t="s">
        <v>74</v>
      </c>
      <c r="R74" s="2" t="s">
        <v>72</v>
      </c>
      <c r="S74">
        <v>6</v>
      </c>
      <c r="T74">
        <v>0</v>
      </c>
      <c r="U74">
        <v>5</v>
      </c>
      <c r="V74">
        <v>3</v>
      </c>
      <c r="W74">
        <v>3</v>
      </c>
      <c r="X74">
        <v>3</v>
      </c>
      <c r="Y74" s="2" t="s">
        <v>72</v>
      </c>
      <c r="Z74">
        <v>4</v>
      </c>
      <c r="AA74">
        <v>3</v>
      </c>
      <c r="AB74">
        <v>4</v>
      </c>
      <c r="AC74">
        <v>3</v>
      </c>
      <c r="AD74">
        <v>2</v>
      </c>
      <c r="AE74">
        <v>4</v>
      </c>
      <c r="AF74" s="10" t="s">
        <v>148</v>
      </c>
      <c r="AG74" s="4"/>
      <c r="AH74" s="8">
        <v>72</v>
      </c>
      <c r="AI74">
        <v>0</v>
      </c>
      <c r="AJ74">
        <v>1</v>
      </c>
      <c r="AK74" s="8" t="s">
        <v>315</v>
      </c>
      <c r="AL74" t="s">
        <v>319</v>
      </c>
      <c r="AM74" t="str">
        <f t="shared" si="29"/>
        <v>Lie</v>
      </c>
      <c r="AN74" s="4"/>
      <c r="AO74">
        <f t="shared" si="16"/>
        <v>2</v>
      </c>
      <c r="AP74">
        <f t="shared" si="17"/>
        <v>2</v>
      </c>
      <c r="AQ74">
        <f t="shared" si="18"/>
        <v>2</v>
      </c>
      <c r="AR74">
        <f t="shared" si="19"/>
        <v>3</v>
      </c>
      <c r="AS74">
        <f t="shared" si="30"/>
        <v>5</v>
      </c>
      <c r="AT74">
        <f t="shared" si="20"/>
        <v>3</v>
      </c>
      <c r="AU74">
        <f t="shared" si="21"/>
        <v>3</v>
      </c>
      <c r="AV74" s="19">
        <f t="shared" si="31"/>
        <v>2.8333333333333335</v>
      </c>
      <c r="AW74" s="4"/>
      <c r="AY74">
        <v>3</v>
      </c>
      <c r="AZ74">
        <v>2</v>
      </c>
      <c r="BA74">
        <v>6</v>
      </c>
      <c r="BB74">
        <v>3</v>
      </c>
      <c r="BC74">
        <v>4</v>
      </c>
      <c r="BD74">
        <v>1</v>
      </c>
      <c r="BE74">
        <f t="shared" si="22"/>
        <v>9</v>
      </c>
      <c r="BF74">
        <f t="shared" si="23"/>
        <v>0</v>
      </c>
      <c r="BG74">
        <f t="shared" si="24"/>
        <v>9</v>
      </c>
      <c r="BI74">
        <v>3</v>
      </c>
      <c r="BJ74">
        <v>2</v>
      </c>
      <c r="BK74">
        <v>6</v>
      </c>
      <c r="BL74">
        <v>3</v>
      </c>
      <c r="BM74">
        <v>4</v>
      </c>
      <c r="BN74">
        <v>2</v>
      </c>
      <c r="BO74">
        <f t="shared" si="25"/>
        <v>8</v>
      </c>
      <c r="BP74">
        <f t="shared" si="26"/>
        <v>1</v>
      </c>
      <c r="BQ74">
        <f t="shared" si="27"/>
        <v>9</v>
      </c>
      <c r="BR74">
        <f t="shared" si="28"/>
        <v>18</v>
      </c>
    </row>
    <row r="75" spans="1:70" ht="60" x14ac:dyDescent="0.25">
      <c r="A75" s="2" t="s">
        <v>33</v>
      </c>
      <c r="B75">
        <v>100</v>
      </c>
      <c r="C75">
        <v>408</v>
      </c>
      <c r="D75" s="2" t="s">
        <v>62</v>
      </c>
      <c r="E75" s="1">
        <v>44477.137724525463</v>
      </c>
      <c r="F75" s="2" t="s">
        <v>63</v>
      </c>
      <c r="G75" s="2" t="s">
        <v>63</v>
      </c>
      <c r="H75" s="2" t="s">
        <v>63</v>
      </c>
      <c r="I75" s="2" t="s">
        <v>63</v>
      </c>
      <c r="J75" s="2" t="s">
        <v>64</v>
      </c>
      <c r="K75" s="2" t="s">
        <v>65</v>
      </c>
      <c r="L75" s="2" t="s">
        <v>71</v>
      </c>
      <c r="M75" s="2" t="s">
        <v>75</v>
      </c>
      <c r="N75" s="2" t="s">
        <v>71</v>
      </c>
      <c r="O75" s="2" t="s">
        <v>75</v>
      </c>
      <c r="P75" s="2" t="s">
        <v>71</v>
      </c>
      <c r="Q75" s="2" t="s">
        <v>71</v>
      </c>
      <c r="R75" s="2" t="s">
        <v>69</v>
      </c>
      <c r="S75">
        <v>3</v>
      </c>
      <c r="T75">
        <v>4</v>
      </c>
      <c r="U75">
        <v>4</v>
      </c>
      <c r="V75">
        <v>4</v>
      </c>
      <c r="W75">
        <v>4</v>
      </c>
      <c r="X75">
        <v>1</v>
      </c>
      <c r="Y75" s="2" t="s">
        <v>68</v>
      </c>
      <c r="Z75">
        <v>3</v>
      </c>
      <c r="AA75">
        <v>4</v>
      </c>
      <c r="AB75">
        <v>4</v>
      </c>
      <c r="AC75">
        <v>5</v>
      </c>
      <c r="AD75">
        <v>3</v>
      </c>
      <c r="AE75">
        <v>1</v>
      </c>
      <c r="AF75" s="10" t="s">
        <v>149</v>
      </c>
      <c r="AG75" s="4"/>
      <c r="AH75" s="8">
        <v>73</v>
      </c>
      <c r="AI75">
        <v>1</v>
      </c>
      <c r="AJ75">
        <v>0</v>
      </c>
      <c r="AK75" s="8" t="s">
        <v>315</v>
      </c>
      <c r="AL75" t="s">
        <v>316</v>
      </c>
      <c r="AM75" t="str">
        <f t="shared" si="29"/>
        <v>Honest</v>
      </c>
      <c r="AN75" s="4"/>
      <c r="AO75">
        <f t="shared" si="16"/>
        <v>2</v>
      </c>
      <c r="AP75">
        <f t="shared" si="17"/>
        <v>4</v>
      </c>
      <c r="AQ75">
        <f t="shared" si="18"/>
        <v>2</v>
      </c>
      <c r="AR75">
        <f t="shared" si="19"/>
        <v>4</v>
      </c>
      <c r="AS75">
        <f t="shared" si="30"/>
        <v>4</v>
      </c>
      <c r="AT75">
        <f t="shared" si="20"/>
        <v>2</v>
      </c>
      <c r="AU75">
        <f t="shared" si="21"/>
        <v>2</v>
      </c>
      <c r="AV75" s="19">
        <f t="shared" si="31"/>
        <v>2.6666666666666665</v>
      </c>
      <c r="AW75" s="4"/>
      <c r="AY75">
        <v>3</v>
      </c>
      <c r="AZ75">
        <v>3</v>
      </c>
      <c r="BA75">
        <v>5</v>
      </c>
      <c r="BB75">
        <v>3</v>
      </c>
      <c r="BC75">
        <v>5</v>
      </c>
      <c r="BD75">
        <v>1</v>
      </c>
      <c r="BE75">
        <f t="shared" si="22"/>
        <v>4</v>
      </c>
      <c r="BF75">
        <f t="shared" si="23"/>
        <v>1</v>
      </c>
      <c r="BG75">
        <f t="shared" si="24"/>
        <v>5</v>
      </c>
      <c r="BI75">
        <v>3</v>
      </c>
      <c r="BJ75">
        <v>3</v>
      </c>
      <c r="BK75">
        <v>5</v>
      </c>
      <c r="BL75">
        <v>3</v>
      </c>
      <c r="BM75">
        <v>5</v>
      </c>
      <c r="BN75">
        <v>1</v>
      </c>
      <c r="BO75">
        <f t="shared" si="25"/>
        <v>6</v>
      </c>
      <c r="BP75">
        <f t="shared" si="26"/>
        <v>1</v>
      </c>
      <c r="BQ75">
        <f t="shared" si="27"/>
        <v>7</v>
      </c>
      <c r="BR75">
        <f t="shared" si="28"/>
        <v>12</v>
      </c>
    </row>
    <row r="76" spans="1:70" ht="30" x14ac:dyDescent="0.25">
      <c r="A76" s="2" t="s">
        <v>33</v>
      </c>
      <c r="B76">
        <v>100</v>
      </c>
      <c r="C76">
        <v>229</v>
      </c>
      <c r="D76" s="2" t="s">
        <v>62</v>
      </c>
      <c r="E76" s="1">
        <v>44477.28306386574</v>
      </c>
      <c r="F76" s="2" t="s">
        <v>63</v>
      </c>
      <c r="G76" s="2" t="s">
        <v>63</v>
      </c>
      <c r="H76" s="2" t="s">
        <v>63</v>
      </c>
      <c r="I76" s="2" t="s">
        <v>63</v>
      </c>
      <c r="J76" s="2" t="s">
        <v>64</v>
      </c>
      <c r="K76" s="2" t="s">
        <v>65</v>
      </c>
      <c r="L76" s="2" t="s">
        <v>71</v>
      </c>
      <c r="M76" s="2" t="s">
        <v>71</v>
      </c>
      <c r="N76" s="2" t="s">
        <v>71</v>
      </c>
      <c r="O76" s="2" t="s">
        <v>67</v>
      </c>
      <c r="P76" s="2" t="s">
        <v>71</v>
      </c>
      <c r="Q76" s="2" t="s">
        <v>71</v>
      </c>
      <c r="R76" s="2" t="s">
        <v>69</v>
      </c>
      <c r="S76">
        <v>6</v>
      </c>
      <c r="T76">
        <v>3</v>
      </c>
      <c r="U76">
        <v>4</v>
      </c>
      <c r="V76">
        <v>1</v>
      </c>
      <c r="W76">
        <v>2</v>
      </c>
      <c r="X76">
        <v>4</v>
      </c>
      <c r="Y76" s="2" t="s">
        <v>69</v>
      </c>
      <c r="Z76">
        <v>3</v>
      </c>
      <c r="AA76">
        <v>5</v>
      </c>
      <c r="AB76">
        <v>2</v>
      </c>
      <c r="AC76">
        <v>3</v>
      </c>
      <c r="AD76">
        <v>2</v>
      </c>
      <c r="AE76">
        <v>5</v>
      </c>
      <c r="AF76" s="10" t="s">
        <v>150</v>
      </c>
      <c r="AG76" s="4"/>
      <c r="AH76" s="8">
        <v>74</v>
      </c>
      <c r="AI76">
        <v>4</v>
      </c>
      <c r="AJ76">
        <v>8</v>
      </c>
      <c r="AK76" s="8" t="s">
        <v>317</v>
      </c>
      <c r="AL76" t="s">
        <v>320</v>
      </c>
      <c r="AM76" t="str">
        <f t="shared" si="29"/>
        <v>Lie</v>
      </c>
      <c r="AN76" s="4"/>
      <c r="AO76">
        <f t="shared" si="16"/>
        <v>2</v>
      </c>
      <c r="AP76">
        <f t="shared" si="17"/>
        <v>2</v>
      </c>
      <c r="AQ76">
        <f t="shared" si="18"/>
        <v>2</v>
      </c>
      <c r="AR76">
        <f t="shared" si="19"/>
        <v>6</v>
      </c>
      <c r="AS76">
        <f t="shared" si="30"/>
        <v>2</v>
      </c>
      <c r="AT76">
        <f t="shared" si="20"/>
        <v>2</v>
      </c>
      <c r="AU76">
        <f t="shared" si="21"/>
        <v>2</v>
      </c>
      <c r="AV76" s="19">
        <f t="shared" si="31"/>
        <v>2</v>
      </c>
      <c r="AW76" s="4"/>
      <c r="AY76">
        <v>6</v>
      </c>
      <c r="AZ76">
        <v>3</v>
      </c>
      <c r="BA76">
        <v>5</v>
      </c>
      <c r="BB76">
        <v>0</v>
      </c>
      <c r="BC76">
        <v>3</v>
      </c>
      <c r="BD76">
        <v>3</v>
      </c>
      <c r="BE76">
        <f t="shared" si="22"/>
        <v>4</v>
      </c>
      <c r="BF76">
        <f t="shared" si="23"/>
        <v>1</v>
      </c>
      <c r="BG76">
        <f t="shared" si="24"/>
        <v>5</v>
      </c>
      <c r="BI76">
        <v>3</v>
      </c>
      <c r="BJ76">
        <v>4</v>
      </c>
      <c r="BK76">
        <v>2</v>
      </c>
      <c r="BL76">
        <v>2</v>
      </c>
      <c r="BM76">
        <v>4</v>
      </c>
      <c r="BN76">
        <v>5</v>
      </c>
      <c r="BO76">
        <f t="shared" si="25"/>
        <v>4</v>
      </c>
      <c r="BP76">
        <f t="shared" si="26"/>
        <v>0</v>
      </c>
      <c r="BQ76">
        <f t="shared" si="27"/>
        <v>4</v>
      </c>
      <c r="BR76">
        <f t="shared" si="28"/>
        <v>9</v>
      </c>
    </row>
    <row r="77" spans="1:70" s="4" customFormat="1" ht="60" x14ac:dyDescent="0.25">
      <c r="A77" s="2" t="s">
        <v>33</v>
      </c>
      <c r="B77">
        <v>100</v>
      </c>
      <c r="C77">
        <v>263</v>
      </c>
      <c r="D77" s="2" t="s">
        <v>62</v>
      </c>
      <c r="E77" s="1">
        <v>44477.300743344909</v>
      </c>
      <c r="F77" s="2" t="s">
        <v>63</v>
      </c>
      <c r="G77" s="2" t="s">
        <v>63</v>
      </c>
      <c r="H77" s="2" t="s">
        <v>63</v>
      </c>
      <c r="I77" s="2" t="s">
        <v>63</v>
      </c>
      <c r="J77" s="2" t="s">
        <v>64</v>
      </c>
      <c r="K77" s="2" t="s">
        <v>65</v>
      </c>
      <c r="L77" s="2" t="s">
        <v>74</v>
      </c>
      <c r="M77" s="2" t="s">
        <v>75</v>
      </c>
      <c r="N77" s="2" t="s">
        <v>74</v>
      </c>
      <c r="O77" s="2" t="s">
        <v>75</v>
      </c>
      <c r="P77" s="2" t="s">
        <v>75</v>
      </c>
      <c r="Q77" s="2" t="s">
        <v>74</v>
      </c>
      <c r="R77" s="2" t="s">
        <v>72</v>
      </c>
      <c r="S77">
        <v>3</v>
      </c>
      <c r="T77">
        <v>5</v>
      </c>
      <c r="U77">
        <v>1</v>
      </c>
      <c r="V77">
        <v>4</v>
      </c>
      <c r="W77">
        <v>3</v>
      </c>
      <c r="X77">
        <v>4</v>
      </c>
      <c r="Y77" s="2" t="s">
        <v>72</v>
      </c>
      <c r="Z77">
        <v>4</v>
      </c>
      <c r="AA77">
        <v>4</v>
      </c>
      <c r="AB77">
        <v>1</v>
      </c>
      <c r="AC77">
        <v>4</v>
      </c>
      <c r="AD77">
        <v>3</v>
      </c>
      <c r="AE77">
        <v>4</v>
      </c>
      <c r="AF77" s="10" t="s">
        <v>151</v>
      </c>
      <c r="AH77" s="8">
        <v>75</v>
      </c>
      <c r="AI77">
        <v>1</v>
      </c>
      <c r="AJ77">
        <v>0</v>
      </c>
      <c r="AK77" s="8" t="s">
        <v>315</v>
      </c>
      <c r="AL77" t="s">
        <v>316</v>
      </c>
      <c r="AM77" t="str">
        <f t="shared" si="29"/>
        <v>Honest</v>
      </c>
      <c r="AO77">
        <f t="shared" si="16"/>
        <v>3</v>
      </c>
      <c r="AP77">
        <f t="shared" si="17"/>
        <v>4</v>
      </c>
      <c r="AQ77">
        <f t="shared" si="18"/>
        <v>3</v>
      </c>
      <c r="AR77">
        <f t="shared" si="19"/>
        <v>4</v>
      </c>
      <c r="AS77">
        <f t="shared" si="30"/>
        <v>4</v>
      </c>
      <c r="AT77">
        <f t="shared" si="20"/>
        <v>4</v>
      </c>
      <c r="AU77">
        <f t="shared" si="21"/>
        <v>3</v>
      </c>
      <c r="AV77" s="19">
        <f t="shared" si="31"/>
        <v>3.5</v>
      </c>
      <c r="AX77"/>
      <c r="AY77">
        <v>2</v>
      </c>
      <c r="AZ77">
        <v>3</v>
      </c>
      <c r="BA77">
        <v>0</v>
      </c>
      <c r="BB77">
        <v>8</v>
      </c>
      <c r="BC77">
        <v>5</v>
      </c>
      <c r="BD77">
        <v>2</v>
      </c>
      <c r="BE77">
        <f t="shared" si="22"/>
        <v>12</v>
      </c>
      <c r="BF77">
        <f t="shared" si="23"/>
        <v>0</v>
      </c>
      <c r="BG77">
        <f t="shared" si="24"/>
        <v>12</v>
      </c>
      <c r="BH77" s="8"/>
      <c r="BI77">
        <v>2</v>
      </c>
      <c r="BJ77">
        <v>3</v>
      </c>
      <c r="BK77">
        <v>0</v>
      </c>
      <c r="BL77">
        <v>8</v>
      </c>
      <c r="BM77">
        <v>5</v>
      </c>
      <c r="BN77">
        <v>2</v>
      </c>
      <c r="BO77">
        <f t="shared" si="25"/>
        <v>12</v>
      </c>
      <c r="BP77">
        <f t="shared" si="26"/>
        <v>1</v>
      </c>
      <c r="BQ77">
        <f t="shared" si="27"/>
        <v>13</v>
      </c>
      <c r="BR77">
        <f t="shared" si="28"/>
        <v>25</v>
      </c>
    </row>
    <row r="78" spans="1:70" ht="45" x14ac:dyDescent="0.25">
      <c r="A78" s="2" t="s">
        <v>33</v>
      </c>
      <c r="B78">
        <v>100</v>
      </c>
      <c r="C78">
        <v>191</v>
      </c>
      <c r="D78" s="2" t="s">
        <v>62</v>
      </c>
      <c r="E78" s="1">
        <v>44477.31821297454</v>
      </c>
      <c r="F78" s="2" t="s">
        <v>63</v>
      </c>
      <c r="G78" s="2" t="s">
        <v>63</v>
      </c>
      <c r="H78" s="2" t="s">
        <v>63</v>
      </c>
      <c r="I78" s="2" t="s">
        <v>63</v>
      </c>
      <c r="J78" s="2" t="s">
        <v>64</v>
      </c>
      <c r="K78" s="2" t="s">
        <v>65</v>
      </c>
      <c r="L78" s="2" t="s">
        <v>71</v>
      </c>
      <c r="M78" s="2" t="s">
        <v>71</v>
      </c>
      <c r="N78" s="2" t="s">
        <v>71</v>
      </c>
      <c r="O78" s="2" t="s">
        <v>81</v>
      </c>
      <c r="P78" s="2" t="s">
        <v>74</v>
      </c>
      <c r="Q78" s="2" t="s">
        <v>74</v>
      </c>
      <c r="R78" s="2" t="s">
        <v>68</v>
      </c>
      <c r="S78">
        <v>5</v>
      </c>
      <c r="T78">
        <v>4</v>
      </c>
      <c r="U78">
        <v>2</v>
      </c>
      <c r="V78">
        <v>2</v>
      </c>
      <c r="W78">
        <v>3</v>
      </c>
      <c r="X78">
        <v>4</v>
      </c>
      <c r="Y78" s="2" t="s">
        <v>69</v>
      </c>
      <c r="Z78">
        <v>5</v>
      </c>
      <c r="AA78">
        <v>4</v>
      </c>
      <c r="AB78">
        <v>2</v>
      </c>
      <c r="AC78">
        <v>2</v>
      </c>
      <c r="AD78">
        <v>3</v>
      </c>
      <c r="AE78">
        <v>4</v>
      </c>
      <c r="AF78" s="10" t="s">
        <v>152</v>
      </c>
      <c r="AG78" s="4"/>
      <c r="AH78" s="8">
        <v>76</v>
      </c>
      <c r="AI78">
        <v>1</v>
      </c>
      <c r="AJ78">
        <v>0</v>
      </c>
      <c r="AK78" s="8" t="s">
        <v>315</v>
      </c>
      <c r="AL78" t="s">
        <v>316</v>
      </c>
      <c r="AM78" t="str">
        <f t="shared" si="29"/>
        <v>Honest</v>
      </c>
      <c r="AN78" s="4"/>
      <c r="AO78">
        <f t="shared" si="16"/>
        <v>2</v>
      </c>
      <c r="AP78">
        <f t="shared" si="17"/>
        <v>2</v>
      </c>
      <c r="AQ78">
        <f t="shared" si="18"/>
        <v>2</v>
      </c>
      <c r="AR78">
        <f t="shared" si="19"/>
        <v>5</v>
      </c>
      <c r="AS78">
        <f t="shared" si="30"/>
        <v>3</v>
      </c>
      <c r="AT78">
        <f t="shared" si="20"/>
        <v>3</v>
      </c>
      <c r="AU78">
        <f t="shared" si="21"/>
        <v>3</v>
      </c>
      <c r="AV78" s="19">
        <f t="shared" si="31"/>
        <v>2.5</v>
      </c>
      <c r="AW78" s="4"/>
      <c r="AY78">
        <v>3</v>
      </c>
      <c r="AZ78">
        <v>1</v>
      </c>
      <c r="BA78">
        <v>6</v>
      </c>
      <c r="BB78">
        <v>1</v>
      </c>
      <c r="BC78">
        <v>5</v>
      </c>
      <c r="BD78">
        <v>4</v>
      </c>
      <c r="BE78">
        <f t="shared" si="22"/>
        <v>12</v>
      </c>
      <c r="BF78">
        <f t="shared" si="23"/>
        <v>1</v>
      </c>
      <c r="BG78">
        <f t="shared" si="24"/>
        <v>13</v>
      </c>
      <c r="BI78">
        <v>3</v>
      </c>
      <c r="BJ78">
        <v>1</v>
      </c>
      <c r="BK78">
        <v>6</v>
      </c>
      <c r="BL78">
        <v>1</v>
      </c>
      <c r="BM78">
        <v>5</v>
      </c>
      <c r="BN78">
        <v>4</v>
      </c>
      <c r="BO78">
        <f t="shared" si="25"/>
        <v>12</v>
      </c>
      <c r="BP78">
        <f t="shared" si="26"/>
        <v>0</v>
      </c>
      <c r="BQ78">
        <f t="shared" si="27"/>
        <v>12</v>
      </c>
      <c r="BR78">
        <f t="shared" si="28"/>
        <v>25</v>
      </c>
    </row>
    <row r="79" spans="1:70" ht="30" x14ac:dyDescent="0.25">
      <c r="A79" s="2" t="s">
        <v>33</v>
      </c>
      <c r="B79">
        <v>100</v>
      </c>
      <c r="C79">
        <v>220</v>
      </c>
      <c r="D79" s="2" t="s">
        <v>62</v>
      </c>
      <c r="E79" s="1">
        <v>44477.438974212964</v>
      </c>
      <c r="F79" s="2" t="s">
        <v>63</v>
      </c>
      <c r="G79" s="2" t="s">
        <v>63</v>
      </c>
      <c r="H79" s="2" t="s">
        <v>63</v>
      </c>
      <c r="I79" s="2" t="s">
        <v>63</v>
      </c>
      <c r="J79" s="2" t="s">
        <v>64</v>
      </c>
      <c r="K79" s="2" t="s">
        <v>65</v>
      </c>
      <c r="L79" s="2" t="s">
        <v>71</v>
      </c>
      <c r="M79" s="2" t="s">
        <v>66</v>
      </c>
      <c r="N79" s="2" t="s">
        <v>71</v>
      </c>
      <c r="O79" s="2" t="s">
        <v>67</v>
      </c>
      <c r="P79" s="2" t="s">
        <v>71</v>
      </c>
      <c r="Q79" s="2" t="s">
        <v>71</v>
      </c>
      <c r="R79" s="2" t="s">
        <v>72</v>
      </c>
      <c r="S79">
        <v>3</v>
      </c>
      <c r="T79">
        <v>3</v>
      </c>
      <c r="U79">
        <v>3</v>
      </c>
      <c r="V79">
        <v>2</v>
      </c>
      <c r="W79">
        <v>4</v>
      </c>
      <c r="X79">
        <v>5</v>
      </c>
      <c r="Y79" s="2" t="s">
        <v>72</v>
      </c>
      <c r="Z79">
        <v>3</v>
      </c>
      <c r="AA79">
        <v>3</v>
      </c>
      <c r="AB79">
        <v>3</v>
      </c>
      <c r="AC79">
        <v>3</v>
      </c>
      <c r="AD79">
        <v>3</v>
      </c>
      <c r="AE79">
        <v>5</v>
      </c>
      <c r="AF79" s="10" t="s">
        <v>153</v>
      </c>
      <c r="AG79" s="4"/>
      <c r="AH79" s="8">
        <v>77</v>
      </c>
      <c r="AI79">
        <v>0</v>
      </c>
      <c r="AJ79">
        <v>7</v>
      </c>
      <c r="AK79" s="8" t="s">
        <v>315</v>
      </c>
      <c r="AL79" t="s">
        <v>319</v>
      </c>
      <c r="AM79" t="str">
        <f t="shared" si="29"/>
        <v>Lie</v>
      </c>
      <c r="AN79" s="4"/>
      <c r="AO79">
        <f t="shared" si="16"/>
        <v>2</v>
      </c>
      <c r="AP79">
        <f t="shared" si="17"/>
        <v>1</v>
      </c>
      <c r="AQ79">
        <f t="shared" si="18"/>
        <v>2</v>
      </c>
      <c r="AR79">
        <f t="shared" si="19"/>
        <v>6</v>
      </c>
      <c r="AS79">
        <f t="shared" si="30"/>
        <v>2</v>
      </c>
      <c r="AT79">
        <f t="shared" si="20"/>
        <v>2</v>
      </c>
      <c r="AU79">
        <f t="shared" si="21"/>
        <v>2</v>
      </c>
      <c r="AV79" s="19">
        <f t="shared" si="31"/>
        <v>1.8333333333333333</v>
      </c>
      <c r="AW79" s="4"/>
      <c r="AY79">
        <v>5</v>
      </c>
      <c r="AZ79">
        <v>4</v>
      </c>
      <c r="BA79">
        <v>1</v>
      </c>
      <c r="BB79">
        <v>1</v>
      </c>
      <c r="BC79">
        <v>5</v>
      </c>
      <c r="BD79">
        <v>4</v>
      </c>
      <c r="BE79">
        <f t="shared" si="22"/>
        <v>8</v>
      </c>
      <c r="BF79">
        <f t="shared" si="23"/>
        <v>0</v>
      </c>
      <c r="BG79">
        <f t="shared" si="24"/>
        <v>8</v>
      </c>
      <c r="BI79">
        <v>3</v>
      </c>
      <c r="BJ79">
        <v>7</v>
      </c>
      <c r="BK79">
        <v>1</v>
      </c>
      <c r="BL79">
        <v>0</v>
      </c>
      <c r="BM79">
        <v>5</v>
      </c>
      <c r="BN79">
        <v>4</v>
      </c>
      <c r="BO79">
        <f t="shared" si="25"/>
        <v>12</v>
      </c>
      <c r="BP79">
        <f t="shared" si="26"/>
        <v>1</v>
      </c>
      <c r="BQ79">
        <f t="shared" si="27"/>
        <v>13</v>
      </c>
      <c r="BR79">
        <f t="shared" si="28"/>
        <v>21</v>
      </c>
    </row>
    <row r="80" spans="1:70" ht="30" x14ac:dyDescent="0.25">
      <c r="A80" s="2" t="s">
        <v>33</v>
      </c>
      <c r="B80">
        <v>100</v>
      </c>
      <c r="C80">
        <v>384</v>
      </c>
      <c r="D80" s="2" t="s">
        <v>62</v>
      </c>
      <c r="E80" s="1">
        <v>44477.455396828707</v>
      </c>
      <c r="F80" s="2" t="s">
        <v>63</v>
      </c>
      <c r="G80" s="2" t="s">
        <v>63</v>
      </c>
      <c r="H80" s="2" t="s">
        <v>63</v>
      </c>
      <c r="I80" s="2" t="s">
        <v>63</v>
      </c>
      <c r="J80" s="2" t="s">
        <v>64</v>
      </c>
      <c r="K80" s="2" t="s">
        <v>65</v>
      </c>
      <c r="L80" s="2" t="s">
        <v>71</v>
      </c>
      <c r="M80" s="2" t="s">
        <v>71</v>
      </c>
      <c r="N80" s="2" t="s">
        <v>71</v>
      </c>
      <c r="O80" s="2" t="s">
        <v>67</v>
      </c>
      <c r="P80" s="2" t="s">
        <v>71</v>
      </c>
      <c r="Q80" s="2" t="s">
        <v>71</v>
      </c>
      <c r="R80" s="2" t="s">
        <v>69</v>
      </c>
      <c r="S80">
        <v>1</v>
      </c>
      <c r="T80">
        <v>2</v>
      </c>
      <c r="U80">
        <v>5</v>
      </c>
      <c r="V80">
        <v>5</v>
      </c>
      <c r="W80">
        <v>5</v>
      </c>
      <c r="X80">
        <v>2</v>
      </c>
      <c r="Y80" s="2" t="s">
        <v>69</v>
      </c>
      <c r="Z80">
        <v>2</v>
      </c>
      <c r="AA80">
        <v>1</v>
      </c>
      <c r="AB80">
        <v>5</v>
      </c>
      <c r="AC80">
        <v>5</v>
      </c>
      <c r="AD80">
        <v>5</v>
      </c>
      <c r="AE80">
        <v>2</v>
      </c>
      <c r="AF80" s="10" t="s">
        <v>154</v>
      </c>
      <c r="AG80" s="4"/>
      <c r="AH80" s="8">
        <v>78</v>
      </c>
      <c r="AI80">
        <v>0</v>
      </c>
      <c r="AJ80">
        <v>0</v>
      </c>
      <c r="AK80" s="8" t="s">
        <v>317</v>
      </c>
      <c r="AL80" t="s">
        <v>318</v>
      </c>
      <c r="AM80" t="str">
        <f t="shared" si="29"/>
        <v>Honest</v>
      </c>
      <c r="AN80" s="4"/>
      <c r="AO80">
        <f t="shared" si="16"/>
        <v>2</v>
      </c>
      <c r="AP80">
        <f t="shared" si="17"/>
        <v>2</v>
      </c>
      <c r="AQ80">
        <f t="shared" si="18"/>
        <v>2</v>
      </c>
      <c r="AR80">
        <f t="shared" si="19"/>
        <v>6</v>
      </c>
      <c r="AS80">
        <f t="shared" si="30"/>
        <v>2</v>
      </c>
      <c r="AT80">
        <f t="shared" si="20"/>
        <v>2</v>
      </c>
      <c r="AU80">
        <f t="shared" si="21"/>
        <v>2</v>
      </c>
      <c r="AV80" s="19">
        <f t="shared" si="31"/>
        <v>2</v>
      </c>
      <c r="AW80" s="4"/>
      <c r="AY80">
        <v>1</v>
      </c>
      <c r="AZ80">
        <v>7</v>
      </c>
      <c r="BA80">
        <v>4</v>
      </c>
      <c r="BB80">
        <v>0</v>
      </c>
      <c r="BC80">
        <v>5</v>
      </c>
      <c r="BD80">
        <v>3</v>
      </c>
      <c r="BE80">
        <f t="shared" si="22"/>
        <v>12</v>
      </c>
      <c r="BF80">
        <f t="shared" si="23"/>
        <v>1</v>
      </c>
      <c r="BG80">
        <f t="shared" si="24"/>
        <v>13</v>
      </c>
      <c r="BI80">
        <v>1</v>
      </c>
      <c r="BJ80">
        <v>7</v>
      </c>
      <c r="BK80">
        <v>4</v>
      </c>
      <c r="BL80">
        <v>0</v>
      </c>
      <c r="BM80">
        <v>5</v>
      </c>
      <c r="BN80">
        <v>3</v>
      </c>
      <c r="BO80">
        <f t="shared" si="25"/>
        <v>14</v>
      </c>
      <c r="BP80">
        <f t="shared" si="26"/>
        <v>0</v>
      </c>
      <c r="BQ80">
        <f t="shared" si="27"/>
        <v>14</v>
      </c>
      <c r="BR80">
        <f t="shared" si="28"/>
        <v>27</v>
      </c>
    </row>
    <row r="81" spans="1:70" ht="30" x14ac:dyDescent="0.25">
      <c r="A81" s="2" t="s">
        <v>33</v>
      </c>
      <c r="B81">
        <v>100</v>
      </c>
      <c r="C81">
        <v>287</v>
      </c>
      <c r="D81" s="2" t="s">
        <v>62</v>
      </c>
      <c r="E81" s="1">
        <v>44477.471561006947</v>
      </c>
      <c r="F81" s="2" t="s">
        <v>63</v>
      </c>
      <c r="G81" s="2" t="s">
        <v>63</v>
      </c>
      <c r="H81" s="2" t="s">
        <v>63</v>
      </c>
      <c r="I81" s="2" t="s">
        <v>63</v>
      </c>
      <c r="J81" s="2" t="s">
        <v>64</v>
      </c>
      <c r="K81" s="2" t="s">
        <v>65</v>
      </c>
      <c r="L81" s="2" t="s">
        <v>71</v>
      </c>
      <c r="M81" s="2" t="s">
        <v>71</v>
      </c>
      <c r="N81" s="2" t="s">
        <v>66</v>
      </c>
      <c r="O81" s="2" t="s">
        <v>67</v>
      </c>
      <c r="P81" s="2" t="s">
        <v>71</v>
      </c>
      <c r="Q81" s="2" t="s">
        <v>71</v>
      </c>
      <c r="R81" s="2" t="s">
        <v>69</v>
      </c>
      <c r="S81">
        <v>4</v>
      </c>
      <c r="T81">
        <v>3</v>
      </c>
      <c r="U81">
        <v>2</v>
      </c>
      <c r="V81">
        <v>5</v>
      </c>
      <c r="W81">
        <v>4</v>
      </c>
      <c r="X81">
        <v>2</v>
      </c>
      <c r="Y81" s="2" t="s">
        <v>72</v>
      </c>
      <c r="Z81">
        <v>3</v>
      </c>
      <c r="AA81">
        <v>2</v>
      </c>
      <c r="AB81">
        <v>4</v>
      </c>
      <c r="AC81">
        <v>4</v>
      </c>
      <c r="AD81">
        <v>3</v>
      </c>
      <c r="AE81">
        <v>4</v>
      </c>
      <c r="AF81" s="10" t="s">
        <v>155</v>
      </c>
      <c r="AG81" s="4"/>
      <c r="AH81" s="8">
        <v>79</v>
      </c>
      <c r="AI81">
        <v>0</v>
      </c>
      <c r="AJ81">
        <v>0</v>
      </c>
      <c r="AK81" s="8" t="s">
        <v>317</v>
      </c>
      <c r="AL81" t="s">
        <v>318</v>
      </c>
      <c r="AM81" t="str">
        <f t="shared" si="29"/>
        <v>Honest</v>
      </c>
      <c r="AN81" s="4"/>
      <c r="AO81">
        <f t="shared" si="16"/>
        <v>2</v>
      </c>
      <c r="AP81">
        <f t="shared" si="17"/>
        <v>2</v>
      </c>
      <c r="AQ81">
        <f t="shared" si="18"/>
        <v>1</v>
      </c>
      <c r="AR81">
        <f t="shared" si="19"/>
        <v>6</v>
      </c>
      <c r="AS81">
        <f t="shared" si="30"/>
        <v>2</v>
      </c>
      <c r="AT81">
        <f t="shared" si="20"/>
        <v>2</v>
      </c>
      <c r="AU81">
        <f t="shared" si="21"/>
        <v>2</v>
      </c>
      <c r="AV81" s="19">
        <f t="shared" si="31"/>
        <v>1.8333333333333333</v>
      </c>
      <c r="AW81" s="4"/>
      <c r="AY81">
        <v>3</v>
      </c>
      <c r="AZ81">
        <v>5</v>
      </c>
      <c r="BA81">
        <v>2</v>
      </c>
      <c r="BB81">
        <v>5</v>
      </c>
      <c r="BC81">
        <v>4</v>
      </c>
      <c r="BD81">
        <v>1</v>
      </c>
      <c r="BE81">
        <f t="shared" si="22"/>
        <v>4</v>
      </c>
      <c r="BF81">
        <f t="shared" si="23"/>
        <v>1</v>
      </c>
      <c r="BG81">
        <f t="shared" si="24"/>
        <v>5</v>
      </c>
      <c r="BI81">
        <v>3</v>
      </c>
      <c r="BJ81">
        <v>5</v>
      </c>
      <c r="BK81">
        <v>2</v>
      </c>
      <c r="BL81">
        <v>5</v>
      </c>
      <c r="BM81">
        <v>4</v>
      </c>
      <c r="BN81">
        <v>1</v>
      </c>
      <c r="BO81">
        <f t="shared" si="25"/>
        <v>10</v>
      </c>
      <c r="BP81">
        <f t="shared" si="26"/>
        <v>1</v>
      </c>
      <c r="BQ81">
        <f t="shared" si="27"/>
        <v>11</v>
      </c>
      <c r="BR81">
        <f t="shared" si="28"/>
        <v>16</v>
      </c>
    </row>
    <row r="82" spans="1:70" ht="30" x14ac:dyDescent="0.25">
      <c r="A82" s="2" t="s">
        <v>33</v>
      </c>
      <c r="B82">
        <v>100</v>
      </c>
      <c r="C82">
        <v>250</v>
      </c>
      <c r="D82" s="2" t="s">
        <v>62</v>
      </c>
      <c r="E82" s="1">
        <v>44477.559724548613</v>
      </c>
      <c r="F82" s="2" t="s">
        <v>63</v>
      </c>
      <c r="G82" s="2" t="s">
        <v>63</v>
      </c>
      <c r="H82" s="2" t="s">
        <v>63</v>
      </c>
      <c r="I82" s="2" t="s">
        <v>63</v>
      </c>
      <c r="J82" s="2" t="s">
        <v>64</v>
      </c>
      <c r="K82" s="2" t="s">
        <v>65</v>
      </c>
      <c r="L82" s="2" t="s">
        <v>66</v>
      </c>
      <c r="M82" s="2" t="s">
        <v>66</v>
      </c>
      <c r="N82" s="2" t="s">
        <v>66</v>
      </c>
      <c r="O82" s="2" t="s">
        <v>78</v>
      </c>
      <c r="P82" s="2" t="s">
        <v>71</v>
      </c>
      <c r="Q82" s="2" t="s">
        <v>71</v>
      </c>
      <c r="R82" s="2" t="s">
        <v>72</v>
      </c>
      <c r="S82">
        <v>2</v>
      </c>
      <c r="T82">
        <v>4</v>
      </c>
      <c r="U82">
        <v>2</v>
      </c>
      <c r="V82">
        <v>6</v>
      </c>
      <c r="W82">
        <v>4</v>
      </c>
      <c r="X82">
        <v>2</v>
      </c>
      <c r="Y82" s="2" t="s">
        <v>72</v>
      </c>
      <c r="Z82">
        <v>2</v>
      </c>
      <c r="AA82">
        <v>4</v>
      </c>
      <c r="AB82">
        <v>6</v>
      </c>
      <c r="AC82">
        <v>5</v>
      </c>
      <c r="AD82">
        <v>2</v>
      </c>
      <c r="AE82">
        <v>1</v>
      </c>
      <c r="AF82" s="10" t="s">
        <v>156</v>
      </c>
      <c r="AG82" s="4"/>
      <c r="AH82" s="8">
        <v>80</v>
      </c>
      <c r="AI82">
        <v>0</v>
      </c>
      <c r="AJ82">
        <v>1</v>
      </c>
      <c r="AK82" s="8" t="s">
        <v>315</v>
      </c>
      <c r="AL82" t="s">
        <v>319</v>
      </c>
      <c r="AM82" t="str">
        <f t="shared" si="29"/>
        <v>Lie</v>
      </c>
      <c r="AN82" s="4"/>
      <c r="AO82">
        <f t="shared" si="16"/>
        <v>1</v>
      </c>
      <c r="AP82">
        <f t="shared" si="17"/>
        <v>1</v>
      </c>
      <c r="AQ82">
        <f t="shared" si="18"/>
        <v>1</v>
      </c>
      <c r="AR82">
        <f t="shared" si="19"/>
        <v>7</v>
      </c>
      <c r="AS82">
        <f t="shared" si="30"/>
        <v>1</v>
      </c>
      <c r="AT82">
        <f t="shared" si="20"/>
        <v>2</v>
      </c>
      <c r="AU82">
        <f t="shared" si="21"/>
        <v>2</v>
      </c>
      <c r="AV82" s="19">
        <f t="shared" si="31"/>
        <v>1.3333333333333333</v>
      </c>
      <c r="AW82" s="4"/>
      <c r="AY82">
        <v>0</v>
      </c>
      <c r="AZ82">
        <v>3</v>
      </c>
      <c r="BA82">
        <v>6</v>
      </c>
      <c r="BB82">
        <v>4</v>
      </c>
      <c r="BC82">
        <v>4</v>
      </c>
      <c r="BD82">
        <v>2</v>
      </c>
      <c r="BE82">
        <f t="shared" si="22"/>
        <v>9</v>
      </c>
      <c r="BF82">
        <f t="shared" si="23"/>
        <v>0</v>
      </c>
      <c r="BG82">
        <f t="shared" si="24"/>
        <v>9</v>
      </c>
      <c r="BI82">
        <v>1</v>
      </c>
      <c r="BJ82">
        <v>3</v>
      </c>
      <c r="BK82">
        <v>6</v>
      </c>
      <c r="BL82">
        <v>4</v>
      </c>
      <c r="BM82">
        <v>4</v>
      </c>
      <c r="BN82">
        <v>2</v>
      </c>
      <c r="BO82">
        <f t="shared" si="25"/>
        <v>6</v>
      </c>
      <c r="BP82">
        <f t="shared" si="26"/>
        <v>1</v>
      </c>
      <c r="BQ82">
        <f t="shared" si="27"/>
        <v>7</v>
      </c>
      <c r="BR82">
        <f t="shared" si="28"/>
        <v>16</v>
      </c>
    </row>
    <row r="83" spans="1:70" ht="30" x14ac:dyDescent="0.25">
      <c r="A83" s="2" t="s">
        <v>33</v>
      </c>
      <c r="B83">
        <v>100</v>
      </c>
      <c r="C83">
        <v>317</v>
      </c>
      <c r="D83" s="2" t="s">
        <v>62</v>
      </c>
      <c r="E83" s="1">
        <v>44477.565861712967</v>
      </c>
      <c r="F83" s="2" t="s">
        <v>63</v>
      </c>
      <c r="G83" s="2" t="s">
        <v>63</v>
      </c>
      <c r="H83" s="2" t="s">
        <v>63</v>
      </c>
      <c r="I83" s="2" t="s">
        <v>63</v>
      </c>
      <c r="J83" s="2" t="s">
        <v>64</v>
      </c>
      <c r="K83" s="2" t="s">
        <v>65</v>
      </c>
      <c r="L83" s="2" t="s">
        <v>71</v>
      </c>
      <c r="M83" s="2" t="s">
        <v>71</v>
      </c>
      <c r="N83" s="2" t="s">
        <v>71</v>
      </c>
      <c r="O83" s="2" t="s">
        <v>67</v>
      </c>
      <c r="P83" s="2" t="s">
        <v>71</v>
      </c>
      <c r="Q83" s="2" t="s">
        <v>71</v>
      </c>
      <c r="R83" s="2" t="s">
        <v>72</v>
      </c>
      <c r="S83">
        <v>6</v>
      </c>
      <c r="T83">
        <v>2</v>
      </c>
      <c r="U83">
        <v>4</v>
      </c>
      <c r="V83">
        <v>1</v>
      </c>
      <c r="W83">
        <v>2</v>
      </c>
      <c r="X83">
        <v>5</v>
      </c>
      <c r="Y83" s="2" t="s">
        <v>68</v>
      </c>
      <c r="Z83">
        <v>5</v>
      </c>
      <c r="AA83">
        <v>2</v>
      </c>
      <c r="AB83">
        <v>2</v>
      </c>
      <c r="AC83">
        <v>3</v>
      </c>
      <c r="AD83">
        <v>4</v>
      </c>
      <c r="AE83">
        <v>4</v>
      </c>
      <c r="AF83" s="10" t="s">
        <v>157</v>
      </c>
      <c r="AG83" s="4"/>
      <c r="AH83" s="8">
        <v>81</v>
      </c>
      <c r="AI83">
        <v>0</v>
      </c>
      <c r="AJ83">
        <v>4</v>
      </c>
      <c r="AK83" s="8" t="s">
        <v>317</v>
      </c>
      <c r="AL83" t="s">
        <v>320</v>
      </c>
      <c r="AM83" t="str">
        <f t="shared" si="29"/>
        <v>Lie</v>
      </c>
      <c r="AN83" s="4"/>
      <c r="AO83">
        <f t="shared" si="16"/>
        <v>2</v>
      </c>
      <c r="AP83">
        <f t="shared" si="17"/>
        <v>2</v>
      </c>
      <c r="AQ83">
        <f t="shared" si="18"/>
        <v>2</v>
      </c>
      <c r="AR83">
        <f t="shared" si="19"/>
        <v>6</v>
      </c>
      <c r="AS83">
        <f t="shared" si="30"/>
        <v>2</v>
      </c>
      <c r="AT83">
        <f t="shared" si="20"/>
        <v>2</v>
      </c>
      <c r="AU83">
        <f t="shared" si="21"/>
        <v>2</v>
      </c>
      <c r="AV83" s="19">
        <f t="shared" si="31"/>
        <v>2</v>
      </c>
      <c r="AW83" s="4"/>
      <c r="AY83">
        <v>7</v>
      </c>
      <c r="AZ83">
        <v>3</v>
      </c>
      <c r="BA83">
        <v>5</v>
      </c>
      <c r="BB83">
        <v>1</v>
      </c>
      <c r="BC83">
        <v>0</v>
      </c>
      <c r="BD83">
        <v>4</v>
      </c>
      <c r="BE83">
        <f t="shared" si="22"/>
        <v>6</v>
      </c>
      <c r="BF83">
        <f t="shared" si="23"/>
        <v>0</v>
      </c>
      <c r="BG83">
        <f t="shared" si="24"/>
        <v>6</v>
      </c>
      <c r="BI83">
        <v>4</v>
      </c>
      <c r="BJ83">
        <v>4</v>
      </c>
      <c r="BK83">
        <v>4</v>
      </c>
      <c r="BL83">
        <v>1</v>
      </c>
      <c r="BM83">
        <v>2</v>
      </c>
      <c r="BN83">
        <v>5</v>
      </c>
      <c r="BO83">
        <f t="shared" si="25"/>
        <v>10</v>
      </c>
      <c r="BP83">
        <f t="shared" si="26"/>
        <v>1</v>
      </c>
      <c r="BQ83">
        <f t="shared" si="27"/>
        <v>11</v>
      </c>
      <c r="BR83">
        <f t="shared" si="28"/>
        <v>17</v>
      </c>
    </row>
    <row r="84" spans="1:70" ht="30" x14ac:dyDescent="0.25">
      <c r="A84" s="2" t="s">
        <v>33</v>
      </c>
      <c r="B84">
        <v>100</v>
      </c>
      <c r="C84">
        <v>255</v>
      </c>
      <c r="D84" s="2" t="s">
        <v>62</v>
      </c>
      <c r="E84" s="1">
        <v>44478.12023925926</v>
      </c>
      <c r="F84" s="2" t="s">
        <v>63</v>
      </c>
      <c r="G84" s="2" t="s">
        <v>63</v>
      </c>
      <c r="H84" s="2" t="s">
        <v>63</v>
      </c>
      <c r="I84" s="2" t="s">
        <v>63</v>
      </c>
      <c r="J84" s="2" t="s">
        <v>64</v>
      </c>
      <c r="K84" s="2" t="s">
        <v>65</v>
      </c>
      <c r="L84" s="2" t="s">
        <v>66</v>
      </c>
      <c r="M84" s="2" t="s">
        <v>71</v>
      </c>
      <c r="N84" s="2" t="s">
        <v>66</v>
      </c>
      <c r="O84" s="2" t="s">
        <v>67</v>
      </c>
      <c r="P84" s="2" t="s">
        <v>71</v>
      </c>
      <c r="Q84" s="2" t="s">
        <v>71</v>
      </c>
      <c r="R84" s="2" t="s">
        <v>72</v>
      </c>
      <c r="S84">
        <v>3</v>
      </c>
      <c r="T84">
        <v>5</v>
      </c>
      <c r="U84">
        <v>5</v>
      </c>
      <c r="V84">
        <v>3</v>
      </c>
      <c r="W84">
        <v>2</v>
      </c>
      <c r="X84">
        <v>2</v>
      </c>
      <c r="Y84" s="2" t="s">
        <v>72</v>
      </c>
      <c r="Z84">
        <v>5</v>
      </c>
      <c r="AA84">
        <v>1</v>
      </c>
      <c r="AB84">
        <v>4</v>
      </c>
      <c r="AC84">
        <v>3</v>
      </c>
      <c r="AD84">
        <v>2</v>
      </c>
      <c r="AE84">
        <v>5</v>
      </c>
      <c r="AF84" s="10" t="s">
        <v>158</v>
      </c>
      <c r="AG84" s="4"/>
      <c r="AH84" s="8">
        <v>82</v>
      </c>
      <c r="AI84">
        <v>0</v>
      </c>
      <c r="AJ84">
        <v>15</v>
      </c>
      <c r="AK84" s="8" t="s">
        <v>317</v>
      </c>
      <c r="AL84" t="s">
        <v>320</v>
      </c>
      <c r="AM84" t="str">
        <f t="shared" si="29"/>
        <v>Lie</v>
      </c>
      <c r="AN84" s="4"/>
      <c r="AO84">
        <f t="shared" si="16"/>
        <v>1</v>
      </c>
      <c r="AP84">
        <f t="shared" si="17"/>
        <v>2</v>
      </c>
      <c r="AQ84">
        <f t="shared" si="18"/>
        <v>1</v>
      </c>
      <c r="AR84">
        <f t="shared" si="19"/>
        <v>6</v>
      </c>
      <c r="AS84">
        <f t="shared" si="30"/>
        <v>2</v>
      </c>
      <c r="AT84">
        <f t="shared" si="20"/>
        <v>2</v>
      </c>
      <c r="AU84">
        <f t="shared" si="21"/>
        <v>2</v>
      </c>
      <c r="AV84" s="19">
        <f t="shared" si="31"/>
        <v>1.6666666666666667</v>
      </c>
      <c r="AW84" s="4"/>
      <c r="AY84">
        <v>7</v>
      </c>
      <c r="AZ84">
        <v>3</v>
      </c>
      <c r="BA84">
        <v>1</v>
      </c>
      <c r="BB84">
        <v>2</v>
      </c>
      <c r="BC84">
        <v>2</v>
      </c>
      <c r="BD84">
        <v>5</v>
      </c>
      <c r="BE84">
        <f t="shared" si="22"/>
        <v>14</v>
      </c>
      <c r="BF84">
        <f t="shared" si="23"/>
        <v>0</v>
      </c>
      <c r="BG84">
        <f t="shared" si="24"/>
        <v>14</v>
      </c>
      <c r="BI84">
        <v>5</v>
      </c>
      <c r="BJ84">
        <v>6</v>
      </c>
      <c r="BK84">
        <v>1</v>
      </c>
      <c r="BL84">
        <v>1</v>
      </c>
      <c r="BM84">
        <v>4</v>
      </c>
      <c r="BN84">
        <v>3</v>
      </c>
      <c r="BO84">
        <f t="shared" si="25"/>
        <v>14</v>
      </c>
      <c r="BP84">
        <f t="shared" si="26"/>
        <v>1</v>
      </c>
      <c r="BQ84">
        <f t="shared" si="27"/>
        <v>15</v>
      </c>
      <c r="BR84">
        <f t="shared" si="28"/>
        <v>29</v>
      </c>
    </row>
    <row r="85" spans="1:70" ht="45" x14ac:dyDescent="0.25">
      <c r="A85" s="2" t="s">
        <v>33</v>
      </c>
      <c r="B85">
        <v>100</v>
      </c>
      <c r="C85">
        <v>137</v>
      </c>
      <c r="D85" s="2" t="s">
        <v>62</v>
      </c>
      <c r="E85" s="1">
        <v>44478.190420243052</v>
      </c>
      <c r="F85" s="2" t="s">
        <v>63</v>
      </c>
      <c r="G85" s="2" t="s">
        <v>63</v>
      </c>
      <c r="H85" s="2" t="s">
        <v>63</v>
      </c>
      <c r="I85" s="2" t="s">
        <v>63</v>
      </c>
      <c r="J85" s="2" t="s">
        <v>64</v>
      </c>
      <c r="K85" s="2" t="s">
        <v>65</v>
      </c>
      <c r="L85" s="2" t="s">
        <v>66</v>
      </c>
      <c r="M85" s="2" t="s">
        <v>71</v>
      </c>
      <c r="N85" s="2" t="s">
        <v>66</v>
      </c>
      <c r="O85" s="2" t="s">
        <v>81</v>
      </c>
      <c r="P85" s="2" t="s">
        <v>71</v>
      </c>
      <c r="Q85" s="2" t="s">
        <v>71</v>
      </c>
      <c r="R85" s="2" t="s">
        <v>72</v>
      </c>
      <c r="S85">
        <v>2</v>
      </c>
      <c r="T85">
        <v>4</v>
      </c>
      <c r="U85">
        <v>2</v>
      </c>
      <c r="V85">
        <v>6</v>
      </c>
      <c r="W85">
        <v>3</v>
      </c>
      <c r="X85">
        <v>3</v>
      </c>
      <c r="Y85" s="2" t="s">
        <v>68</v>
      </c>
      <c r="Z85">
        <v>3</v>
      </c>
      <c r="AA85">
        <v>5</v>
      </c>
      <c r="AB85">
        <v>3</v>
      </c>
      <c r="AC85">
        <v>4</v>
      </c>
      <c r="AD85">
        <v>3</v>
      </c>
      <c r="AE85">
        <v>2</v>
      </c>
      <c r="AF85" s="10" t="s">
        <v>159</v>
      </c>
      <c r="AG85" s="4"/>
      <c r="AH85" s="8">
        <v>83</v>
      </c>
      <c r="AI85">
        <v>4</v>
      </c>
      <c r="AJ85">
        <v>1</v>
      </c>
      <c r="AK85" s="8" t="s">
        <v>315</v>
      </c>
      <c r="AL85" t="s">
        <v>319</v>
      </c>
      <c r="AM85" t="str">
        <f t="shared" si="29"/>
        <v>Lie</v>
      </c>
      <c r="AN85" s="4"/>
      <c r="AO85">
        <f t="shared" si="16"/>
        <v>1</v>
      </c>
      <c r="AP85">
        <f t="shared" si="17"/>
        <v>2</v>
      </c>
      <c r="AQ85">
        <f t="shared" si="18"/>
        <v>1</v>
      </c>
      <c r="AR85">
        <f t="shared" si="19"/>
        <v>5</v>
      </c>
      <c r="AS85">
        <f t="shared" si="30"/>
        <v>3</v>
      </c>
      <c r="AT85">
        <f t="shared" si="20"/>
        <v>2</v>
      </c>
      <c r="AU85">
        <f t="shared" si="21"/>
        <v>2</v>
      </c>
      <c r="AV85" s="19">
        <f t="shared" si="31"/>
        <v>1.8333333333333333</v>
      </c>
      <c r="AW85" s="4"/>
      <c r="AY85">
        <v>4</v>
      </c>
      <c r="AZ85">
        <v>1</v>
      </c>
      <c r="BA85">
        <v>3</v>
      </c>
      <c r="BB85">
        <v>3</v>
      </c>
      <c r="BC85">
        <v>2</v>
      </c>
      <c r="BD85">
        <v>5</v>
      </c>
      <c r="BE85">
        <f t="shared" si="22"/>
        <v>12</v>
      </c>
      <c r="BF85">
        <f t="shared" si="23"/>
        <v>0</v>
      </c>
      <c r="BG85">
        <f t="shared" si="24"/>
        <v>12</v>
      </c>
      <c r="BI85">
        <v>5</v>
      </c>
      <c r="BJ85">
        <v>2</v>
      </c>
      <c r="BK85">
        <v>2</v>
      </c>
      <c r="BL85">
        <v>2</v>
      </c>
      <c r="BM85">
        <v>4</v>
      </c>
      <c r="BN85">
        <v>5</v>
      </c>
      <c r="BO85">
        <f t="shared" si="25"/>
        <v>12</v>
      </c>
      <c r="BP85">
        <f t="shared" si="26"/>
        <v>1</v>
      </c>
      <c r="BQ85">
        <f t="shared" si="27"/>
        <v>13</v>
      </c>
      <c r="BR85">
        <f t="shared" si="28"/>
        <v>25</v>
      </c>
    </row>
    <row r="86" spans="1:70" ht="45" x14ac:dyDescent="0.25">
      <c r="A86" s="2" t="s">
        <v>33</v>
      </c>
      <c r="B86">
        <v>100</v>
      </c>
      <c r="C86">
        <v>281</v>
      </c>
      <c r="D86" s="2" t="s">
        <v>62</v>
      </c>
      <c r="E86" s="1">
        <v>44478.235883472225</v>
      </c>
      <c r="F86" s="2" t="s">
        <v>63</v>
      </c>
      <c r="G86" s="2" t="s">
        <v>63</v>
      </c>
      <c r="H86" s="2" t="s">
        <v>63</v>
      </c>
      <c r="I86" s="2" t="s">
        <v>63</v>
      </c>
      <c r="J86" s="2" t="s">
        <v>64</v>
      </c>
      <c r="K86" s="2" t="s">
        <v>65</v>
      </c>
      <c r="L86" s="2" t="s">
        <v>71</v>
      </c>
      <c r="M86" s="2" t="s">
        <v>81</v>
      </c>
      <c r="N86" s="2" t="s">
        <v>66</v>
      </c>
      <c r="O86" s="2" t="s">
        <v>81</v>
      </c>
      <c r="P86" s="2" t="s">
        <v>74</v>
      </c>
      <c r="Q86" s="2" t="s">
        <v>71</v>
      </c>
      <c r="R86" s="2" t="s">
        <v>69</v>
      </c>
      <c r="S86">
        <v>4</v>
      </c>
      <c r="T86">
        <v>4</v>
      </c>
      <c r="U86">
        <v>3</v>
      </c>
      <c r="V86">
        <v>3</v>
      </c>
      <c r="W86">
        <v>3</v>
      </c>
      <c r="X86">
        <v>3</v>
      </c>
      <c r="Y86" s="2" t="s">
        <v>69</v>
      </c>
      <c r="Z86">
        <v>4</v>
      </c>
      <c r="AA86">
        <v>4</v>
      </c>
      <c r="AB86">
        <v>3</v>
      </c>
      <c r="AC86">
        <v>3</v>
      </c>
      <c r="AD86">
        <v>3</v>
      </c>
      <c r="AE86">
        <v>3</v>
      </c>
      <c r="AF86" s="10" t="s">
        <v>160</v>
      </c>
      <c r="AG86" s="4"/>
      <c r="AH86" s="8">
        <v>84</v>
      </c>
      <c r="AI86">
        <v>1</v>
      </c>
      <c r="AJ86">
        <v>4</v>
      </c>
      <c r="AK86" s="8" t="s">
        <v>315</v>
      </c>
      <c r="AL86" t="s">
        <v>319</v>
      </c>
      <c r="AM86" t="str">
        <f t="shared" si="29"/>
        <v>Lie</v>
      </c>
      <c r="AN86" s="4"/>
      <c r="AO86">
        <f t="shared" si="16"/>
        <v>2</v>
      </c>
      <c r="AP86">
        <f t="shared" si="17"/>
        <v>5</v>
      </c>
      <c r="AQ86">
        <f t="shared" si="18"/>
        <v>1</v>
      </c>
      <c r="AR86">
        <f t="shared" si="19"/>
        <v>5</v>
      </c>
      <c r="AS86">
        <f t="shared" si="30"/>
        <v>3</v>
      </c>
      <c r="AT86">
        <f t="shared" si="20"/>
        <v>3</v>
      </c>
      <c r="AU86">
        <f t="shared" si="21"/>
        <v>2</v>
      </c>
      <c r="AV86" s="19">
        <f t="shared" si="31"/>
        <v>2.6666666666666665</v>
      </c>
      <c r="AW86" s="4"/>
      <c r="AY86">
        <v>3</v>
      </c>
      <c r="AZ86">
        <v>1</v>
      </c>
      <c r="BA86">
        <v>5</v>
      </c>
      <c r="BB86">
        <v>3</v>
      </c>
      <c r="BC86">
        <v>4</v>
      </c>
      <c r="BD86">
        <v>4</v>
      </c>
      <c r="BE86">
        <f t="shared" si="22"/>
        <v>8</v>
      </c>
      <c r="BF86">
        <f t="shared" si="23"/>
        <v>1</v>
      </c>
      <c r="BG86">
        <f t="shared" si="24"/>
        <v>9</v>
      </c>
      <c r="BI86">
        <v>3</v>
      </c>
      <c r="BJ86">
        <v>1</v>
      </c>
      <c r="BK86">
        <v>5</v>
      </c>
      <c r="BL86">
        <v>3</v>
      </c>
      <c r="BM86">
        <v>4</v>
      </c>
      <c r="BN86">
        <v>4</v>
      </c>
      <c r="BO86">
        <f t="shared" si="25"/>
        <v>8</v>
      </c>
      <c r="BP86">
        <f t="shared" si="26"/>
        <v>0</v>
      </c>
      <c r="BQ86">
        <f t="shared" si="27"/>
        <v>8</v>
      </c>
      <c r="BR86">
        <f t="shared" si="28"/>
        <v>17</v>
      </c>
    </row>
    <row r="87" spans="1:70" ht="30" x14ac:dyDescent="0.25">
      <c r="A87" s="2" t="s">
        <v>33</v>
      </c>
      <c r="B87">
        <v>100</v>
      </c>
      <c r="C87">
        <v>163</v>
      </c>
      <c r="D87" s="2" t="s">
        <v>62</v>
      </c>
      <c r="E87" s="1">
        <v>44478.31618267361</v>
      </c>
      <c r="F87" s="2" t="s">
        <v>63</v>
      </c>
      <c r="G87" s="2" t="s">
        <v>63</v>
      </c>
      <c r="H87" s="2" t="s">
        <v>63</v>
      </c>
      <c r="I87" s="2" t="s">
        <v>63</v>
      </c>
      <c r="J87" s="2" t="s">
        <v>64</v>
      </c>
      <c r="K87" s="2" t="s">
        <v>65</v>
      </c>
      <c r="L87" s="2" t="s">
        <v>71</v>
      </c>
      <c r="M87" s="2" t="s">
        <v>66</v>
      </c>
      <c r="N87" s="2" t="s">
        <v>71</v>
      </c>
      <c r="O87" s="2" t="s">
        <v>67</v>
      </c>
      <c r="P87" s="2" t="s">
        <v>71</v>
      </c>
      <c r="Q87" s="2" t="s">
        <v>66</v>
      </c>
      <c r="R87" s="2" t="s">
        <v>72</v>
      </c>
      <c r="S87">
        <v>3</v>
      </c>
      <c r="T87">
        <v>2</v>
      </c>
      <c r="U87">
        <v>4</v>
      </c>
      <c r="V87">
        <v>5</v>
      </c>
      <c r="W87">
        <v>4</v>
      </c>
      <c r="X87">
        <v>2</v>
      </c>
      <c r="Y87" s="2" t="s">
        <v>72</v>
      </c>
      <c r="Z87">
        <v>2</v>
      </c>
      <c r="AA87">
        <v>4</v>
      </c>
      <c r="AB87">
        <v>3</v>
      </c>
      <c r="AC87">
        <v>5</v>
      </c>
      <c r="AD87">
        <v>4</v>
      </c>
      <c r="AE87">
        <v>2</v>
      </c>
      <c r="AF87" s="10" t="s">
        <v>161</v>
      </c>
      <c r="AG87" s="4"/>
      <c r="AH87" s="8">
        <v>85</v>
      </c>
      <c r="AI87">
        <v>0</v>
      </c>
      <c r="AJ87">
        <v>1</v>
      </c>
      <c r="AK87" s="8" t="s">
        <v>317</v>
      </c>
      <c r="AL87" t="s">
        <v>320</v>
      </c>
      <c r="AM87" t="str">
        <f t="shared" si="29"/>
        <v>Lie</v>
      </c>
      <c r="AN87" s="4"/>
      <c r="AO87">
        <f t="shared" si="16"/>
        <v>2</v>
      </c>
      <c r="AP87">
        <f t="shared" si="17"/>
        <v>1</v>
      </c>
      <c r="AQ87">
        <f t="shared" si="18"/>
        <v>2</v>
      </c>
      <c r="AR87">
        <f t="shared" si="19"/>
        <v>6</v>
      </c>
      <c r="AS87">
        <f t="shared" si="30"/>
        <v>2</v>
      </c>
      <c r="AT87">
        <f t="shared" si="20"/>
        <v>2</v>
      </c>
      <c r="AU87">
        <f t="shared" si="21"/>
        <v>1</v>
      </c>
      <c r="AV87" s="19">
        <f t="shared" si="31"/>
        <v>1.6666666666666667</v>
      </c>
      <c r="AW87" s="4"/>
      <c r="AY87">
        <v>4</v>
      </c>
      <c r="AZ87">
        <v>2</v>
      </c>
      <c r="BA87">
        <v>4</v>
      </c>
      <c r="BB87">
        <v>2</v>
      </c>
      <c r="BC87">
        <v>5</v>
      </c>
      <c r="BD87">
        <v>3</v>
      </c>
      <c r="BE87">
        <f t="shared" si="22"/>
        <v>6</v>
      </c>
      <c r="BF87">
        <f t="shared" si="23"/>
        <v>0</v>
      </c>
      <c r="BG87">
        <f t="shared" si="24"/>
        <v>6</v>
      </c>
      <c r="BI87">
        <v>4</v>
      </c>
      <c r="BJ87">
        <v>3</v>
      </c>
      <c r="BK87">
        <v>4</v>
      </c>
      <c r="BL87">
        <v>2</v>
      </c>
      <c r="BM87">
        <v>5</v>
      </c>
      <c r="BN87">
        <v>2</v>
      </c>
      <c r="BO87">
        <f t="shared" si="25"/>
        <v>8</v>
      </c>
      <c r="BP87">
        <f t="shared" si="26"/>
        <v>1</v>
      </c>
      <c r="BQ87">
        <f t="shared" si="27"/>
        <v>9</v>
      </c>
      <c r="BR87">
        <f t="shared" si="28"/>
        <v>15</v>
      </c>
    </row>
    <row r="88" spans="1:70" ht="30" x14ac:dyDescent="0.25">
      <c r="A88" s="2" t="s">
        <v>33</v>
      </c>
      <c r="B88">
        <v>100</v>
      </c>
      <c r="C88">
        <v>133</v>
      </c>
      <c r="D88" s="2" t="s">
        <v>62</v>
      </c>
      <c r="E88" s="1">
        <v>44478.335799583336</v>
      </c>
      <c r="F88" s="2" t="s">
        <v>63</v>
      </c>
      <c r="G88" s="2" t="s">
        <v>63</v>
      </c>
      <c r="H88" s="2" t="s">
        <v>63</v>
      </c>
      <c r="I88" s="2" t="s">
        <v>63</v>
      </c>
      <c r="J88" s="2" t="s">
        <v>64</v>
      </c>
      <c r="K88" s="2" t="s">
        <v>65</v>
      </c>
      <c r="L88" s="2" t="s">
        <v>71</v>
      </c>
      <c r="M88" s="2" t="s">
        <v>71</v>
      </c>
      <c r="N88" s="2" t="s">
        <v>71</v>
      </c>
      <c r="O88" s="2" t="s">
        <v>67</v>
      </c>
      <c r="P88" s="2" t="s">
        <v>71</v>
      </c>
      <c r="Q88" s="2" t="s">
        <v>71</v>
      </c>
      <c r="R88" s="2" t="s">
        <v>68</v>
      </c>
      <c r="S88">
        <v>3</v>
      </c>
      <c r="T88">
        <v>4</v>
      </c>
      <c r="U88">
        <v>2</v>
      </c>
      <c r="V88">
        <v>5</v>
      </c>
      <c r="W88">
        <v>3</v>
      </c>
      <c r="X88">
        <v>3</v>
      </c>
      <c r="Y88" s="2" t="s">
        <v>69</v>
      </c>
      <c r="Z88">
        <v>5</v>
      </c>
      <c r="AA88">
        <v>4</v>
      </c>
      <c r="AB88">
        <v>2</v>
      </c>
      <c r="AC88">
        <v>3</v>
      </c>
      <c r="AD88">
        <v>3</v>
      </c>
      <c r="AE88">
        <v>3</v>
      </c>
      <c r="AF88" s="10" t="s">
        <v>162</v>
      </c>
      <c r="AG88" s="4"/>
      <c r="AH88" s="8">
        <v>86</v>
      </c>
      <c r="AI88">
        <v>2</v>
      </c>
      <c r="AJ88">
        <v>0</v>
      </c>
      <c r="AK88" s="8" t="s">
        <v>315</v>
      </c>
      <c r="AL88" t="s">
        <v>316</v>
      </c>
      <c r="AM88" t="str">
        <f t="shared" si="29"/>
        <v>Honest</v>
      </c>
      <c r="AN88" s="4"/>
      <c r="AO88">
        <f t="shared" si="16"/>
        <v>2</v>
      </c>
      <c r="AP88">
        <f t="shared" si="17"/>
        <v>2</v>
      </c>
      <c r="AQ88">
        <f t="shared" si="18"/>
        <v>2</v>
      </c>
      <c r="AR88">
        <f t="shared" si="19"/>
        <v>6</v>
      </c>
      <c r="AS88">
        <f t="shared" si="30"/>
        <v>2</v>
      </c>
      <c r="AT88">
        <f t="shared" si="20"/>
        <v>2</v>
      </c>
      <c r="AU88">
        <f t="shared" si="21"/>
        <v>2</v>
      </c>
      <c r="AV88" s="19">
        <f t="shared" si="31"/>
        <v>2</v>
      </c>
      <c r="AW88" s="4"/>
      <c r="AY88">
        <v>2</v>
      </c>
      <c r="AZ88">
        <v>7</v>
      </c>
      <c r="BA88">
        <v>3</v>
      </c>
      <c r="BB88">
        <v>1</v>
      </c>
      <c r="BC88">
        <v>5</v>
      </c>
      <c r="BD88">
        <v>2</v>
      </c>
      <c r="BE88">
        <f t="shared" si="22"/>
        <v>12</v>
      </c>
      <c r="BF88">
        <f t="shared" si="23"/>
        <v>1</v>
      </c>
      <c r="BG88">
        <f t="shared" si="24"/>
        <v>13</v>
      </c>
      <c r="BI88">
        <v>1</v>
      </c>
      <c r="BJ88">
        <v>7</v>
      </c>
      <c r="BK88">
        <v>4</v>
      </c>
      <c r="BL88">
        <v>1</v>
      </c>
      <c r="BM88">
        <v>5</v>
      </c>
      <c r="BN88">
        <v>2</v>
      </c>
      <c r="BO88">
        <f t="shared" si="25"/>
        <v>14</v>
      </c>
      <c r="BP88">
        <f t="shared" si="26"/>
        <v>0</v>
      </c>
      <c r="BQ88">
        <f t="shared" si="27"/>
        <v>14</v>
      </c>
      <c r="BR88">
        <f t="shared" si="28"/>
        <v>27</v>
      </c>
    </row>
    <row r="89" spans="1:70" s="4" customFormat="1" ht="60" x14ac:dyDescent="0.25">
      <c r="A89" s="2" t="s">
        <v>33</v>
      </c>
      <c r="B89">
        <v>100</v>
      </c>
      <c r="C89">
        <v>201</v>
      </c>
      <c r="D89" s="2" t="s">
        <v>62</v>
      </c>
      <c r="E89" s="1">
        <v>44478.364978692131</v>
      </c>
      <c r="F89" s="2" t="s">
        <v>63</v>
      </c>
      <c r="G89" s="2" t="s">
        <v>63</v>
      </c>
      <c r="H89" s="2" t="s">
        <v>63</v>
      </c>
      <c r="I89" s="2" t="s">
        <v>63</v>
      </c>
      <c r="J89" s="2" t="s">
        <v>64</v>
      </c>
      <c r="K89" s="2" t="s">
        <v>65</v>
      </c>
      <c r="L89" s="2" t="s">
        <v>66</v>
      </c>
      <c r="M89" s="2" t="s">
        <v>74</v>
      </c>
      <c r="N89" s="2" t="s">
        <v>71</v>
      </c>
      <c r="O89" s="2" t="s">
        <v>67</v>
      </c>
      <c r="P89" s="2" t="s">
        <v>75</v>
      </c>
      <c r="Q89" s="2" t="s">
        <v>75</v>
      </c>
      <c r="R89" s="2" t="s">
        <v>114</v>
      </c>
      <c r="S89">
        <v>2</v>
      </c>
      <c r="T89">
        <v>3</v>
      </c>
      <c r="U89">
        <v>3</v>
      </c>
      <c r="V89">
        <v>5</v>
      </c>
      <c r="W89">
        <v>3</v>
      </c>
      <c r="X89">
        <v>4</v>
      </c>
      <c r="Y89" s="2" t="s">
        <v>68</v>
      </c>
      <c r="Z89">
        <v>3</v>
      </c>
      <c r="AA89">
        <v>2</v>
      </c>
      <c r="AB89">
        <v>4</v>
      </c>
      <c r="AC89">
        <v>5</v>
      </c>
      <c r="AD89">
        <v>3</v>
      </c>
      <c r="AE89">
        <v>3</v>
      </c>
      <c r="AF89" s="10" t="s">
        <v>163</v>
      </c>
      <c r="AH89" s="8">
        <v>87</v>
      </c>
      <c r="AI89">
        <v>0</v>
      </c>
      <c r="AJ89">
        <v>0</v>
      </c>
      <c r="AK89" s="8" t="s">
        <v>315</v>
      </c>
      <c r="AL89" t="s">
        <v>316</v>
      </c>
      <c r="AM89" t="str">
        <f t="shared" si="29"/>
        <v>Honest</v>
      </c>
      <c r="AO89">
        <f t="shared" si="16"/>
        <v>1</v>
      </c>
      <c r="AP89">
        <f t="shared" si="17"/>
        <v>3</v>
      </c>
      <c r="AQ89">
        <f t="shared" si="18"/>
        <v>2</v>
      </c>
      <c r="AR89">
        <f t="shared" si="19"/>
        <v>6</v>
      </c>
      <c r="AS89">
        <f t="shared" si="30"/>
        <v>2</v>
      </c>
      <c r="AT89">
        <f t="shared" si="20"/>
        <v>4</v>
      </c>
      <c r="AU89">
        <f t="shared" si="21"/>
        <v>4</v>
      </c>
      <c r="AV89" s="19">
        <f t="shared" si="31"/>
        <v>2.6666666666666665</v>
      </c>
      <c r="AX89"/>
      <c r="AY89">
        <v>2</v>
      </c>
      <c r="AZ89">
        <v>3</v>
      </c>
      <c r="BA89">
        <v>5</v>
      </c>
      <c r="BB89">
        <v>0</v>
      </c>
      <c r="BC89">
        <v>4</v>
      </c>
      <c r="BD89">
        <v>6</v>
      </c>
      <c r="BE89">
        <f t="shared" si="22"/>
        <v>10</v>
      </c>
      <c r="BF89">
        <f t="shared" si="23"/>
        <v>1</v>
      </c>
      <c r="BG89">
        <f t="shared" si="24"/>
        <v>11</v>
      </c>
      <c r="BH89" s="8"/>
      <c r="BI89">
        <v>2</v>
      </c>
      <c r="BJ89">
        <v>3</v>
      </c>
      <c r="BK89">
        <v>5</v>
      </c>
      <c r="BL89">
        <v>0</v>
      </c>
      <c r="BM89">
        <v>4</v>
      </c>
      <c r="BN89">
        <v>6</v>
      </c>
      <c r="BO89">
        <f t="shared" si="25"/>
        <v>12</v>
      </c>
      <c r="BP89">
        <f t="shared" si="26"/>
        <v>1</v>
      </c>
      <c r="BQ89">
        <f t="shared" si="27"/>
        <v>13</v>
      </c>
      <c r="BR89">
        <f t="shared" si="28"/>
        <v>24</v>
      </c>
    </row>
    <row r="90" spans="1:70" ht="45" x14ac:dyDescent="0.25">
      <c r="A90" s="2" t="s">
        <v>33</v>
      </c>
      <c r="B90">
        <v>100</v>
      </c>
      <c r="C90">
        <v>224</v>
      </c>
      <c r="D90" s="2" t="s">
        <v>62</v>
      </c>
      <c r="E90" s="1">
        <v>44478.37210414352</v>
      </c>
      <c r="F90" s="2" t="s">
        <v>63</v>
      </c>
      <c r="G90" s="2" t="s">
        <v>63</v>
      </c>
      <c r="H90" s="2" t="s">
        <v>63</v>
      </c>
      <c r="I90" s="2" t="s">
        <v>63</v>
      </c>
      <c r="J90" s="2" t="s">
        <v>64</v>
      </c>
      <c r="K90" s="2" t="s">
        <v>65</v>
      </c>
      <c r="L90" s="2" t="s">
        <v>74</v>
      </c>
      <c r="M90" s="2" t="s">
        <v>74</v>
      </c>
      <c r="N90" s="2" t="s">
        <v>74</v>
      </c>
      <c r="O90" s="2" t="s">
        <v>81</v>
      </c>
      <c r="P90" s="2" t="s">
        <v>74</v>
      </c>
      <c r="Q90" s="2" t="s">
        <v>74</v>
      </c>
      <c r="R90" s="2" t="s">
        <v>69</v>
      </c>
      <c r="S90">
        <v>1</v>
      </c>
      <c r="T90">
        <v>3</v>
      </c>
      <c r="U90">
        <v>6</v>
      </c>
      <c r="V90">
        <v>3</v>
      </c>
      <c r="W90">
        <v>5</v>
      </c>
      <c r="X90">
        <v>2</v>
      </c>
      <c r="Y90" s="2" t="s">
        <v>69</v>
      </c>
      <c r="Z90">
        <v>2</v>
      </c>
      <c r="AA90">
        <v>2</v>
      </c>
      <c r="AB90">
        <v>4</v>
      </c>
      <c r="AC90">
        <v>4</v>
      </c>
      <c r="AD90">
        <v>6</v>
      </c>
      <c r="AE90">
        <v>2</v>
      </c>
      <c r="AF90" s="10" t="s">
        <v>164</v>
      </c>
      <c r="AG90" s="4"/>
      <c r="AH90" s="8">
        <v>88</v>
      </c>
      <c r="AI90">
        <v>0</v>
      </c>
      <c r="AJ90">
        <v>16</v>
      </c>
      <c r="AK90" s="8" t="s">
        <v>317</v>
      </c>
      <c r="AL90" t="s">
        <v>320</v>
      </c>
      <c r="AM90" t="str">
        <f t="shared" si="29"/>
        <v>Lie</v>
      </c>
      <c r="AN90" s="4"/>
      <c r="AO90">
        <f t="shared" si="16"/>
        <v>3</v>
      </c>
      <c r="AP90">
        <f t="shared" si="17"/>
        <v>3</v>
      </c>
      <c r="AQ90">
        <f t="shared" si="18"/>
        <v>3</v>
      </c>
      <c r="AR90">
        <f t="shared" si="19"/>
        <v>5</v>
      </c>
      <c r="AS90">
        <f t="shared" si="30"/>
        <v>3</v>
      </c>
      <c r="AT90">
        <f t="shared" si="20"/>
        <v>3</v>
      </c>
      <c r="AU90">
        <f t="shared" si="21"/>
        <v>3</v>
      </c>
      <c r="AV90" s="19">
        <f t="shared" si="31"/>
        <v>3</v>
      </c>
      <c r="AW90" s="4"/>
      <c r="AY90">
        <v>4</v>
      </c>
      <c r="AZ90">
        <v>4</v>
      </c>
      <c r="BA90">
        <v>4</v>
      </c>
      <c r="BB90">
        <v>2</v>
      </c>
      <c r="BC90">
        <v>3</v>
      </c>
      <c r="BD90">
        <v>3</v>
      </c>
      <c r="BE90">
        <f t="shared" si="22"/>
        <v>10</v>
      </c>
      <c r="BF90">
        <f t="shared" si="23"/>
        <v>1</v>
      </c>
      <c r="BG90">
        <f t="shared" si="24"/>
        <v>11</v>
      </c>
      <c r="BI90">
        <v>2</v>
      </c>
      <c r="BJ90">
        <v>7</v>
      </c>
      <c r="BK90">
        <v>2</v>
      </c>
      <c r="BL90">
        <v>1</v>
      </c>
      <c r="BM90">
        <v>6</v>
      </c>
      <c r="BN90">
        <v>2</v>
      </c>
      <c r="BO90">
        <f t="shared" si="25"/>
        <v>10</v>
      </c>
      <c r="BP90">
        <f t="shared" si="26"/>
        <v>0</v>
      </c>
      <c r="BQ90">
        <f t="shared" si="27"/>
        <v>10</v>
      </c>
      <c r="BR90">
        <f t="shared" si="28"/>
        <v>21</v>
      </c>
    </row>
    <row r="91" spans="1:70" ht="30" x14ac:dyDescent="0.25">
      <c r="A91" s="2" t="s">
        <v>33</v>
      </c>
      <c r="B91">
        <v>100</v>
      </c>
      <c r="C91">
        <v>198</v>
      </c>
      <c r="D91" s="2" t="s">
        <v>62</v>
      </c>
      <c r="E91" s="1">
        <v>44478.382268298614</v>
      </c>
      <c r="F91" s="2" t="s">
        <v>63</v>
      </c>
      <c r="G91" s="2" t="s">
        <v>63</v>
      </c>
      <c r="H91" s="2" t="s">
        <v>63</v>
      </c>
      <c r="I91" s="2" t="s">
        <v>63</v>
      </c>
      <c r="J91" s="2" t="s">
        <v>64</v>
      </c>
      <c r="K91" s="2" t="s">
        <v>65</v>
      </c>
      <c r="L91" s="2" t="s">
        <v>71</v>
      </c>
      <c r="M91" s="2" t="s">
        <v>71</v>
      </c>
      <c r="N91" s="2" t="s">
        <v>66</v>
      </c>
      <c r="O91" s="2" t="s">
        <v>67</v>
      </c>
      <c r="P91" s="2" t="s">
        <v>66</v>
      </c>
      <c r="Q91" s="2" t="s">
        <v>66</v>
      </c>
      <c r="R91" s="2" t="s">
        <v>69</v>
      </c>
      <c r="S91">
        <v>3</v>
      </c>
      <c r="T91">
        <v>4</v>
      </c>
      <c r="U91">
        <v>3</v>
      </c>
      <c r="V91">
        <v>4</v>
      </c>
      <c r="W91">
        <v>3</v>
      </c>
      <c r="X91">
        <v>3</v>
      </c>
      <c r="Y91" s="2" t="s">
        <v>69</v>
      </c>
      <c r="Z91">
        <v>3</v>
      </c>
      <c r="AA91">
        <v>4</v>
      </c>
      <c r="AB91">
        <v>3</v>
      </c>
      <c r="AC91">
        <v>4</v>
      </c>
      <c r="AD91">
        <v>3</v>
      </c>
      <c r="AE91">
        <v>3</v>
      </c>
      <c r="AF91" s="10" t="s">
        <v>165</v>
      </c>
      <c r="AG91" s="4"/>
      <c r="AH91" s="8">
        <v>89</v>
      </c>
      <c r="AI91">
        <v>0</v>
      </c>
      <c r="AJ91">
        <v>17</v>
      </c>
      <c r="AK91" s="8" t="s">
        <v>317</v>
      </c>
      <c r="AL91" t="s">
        <v>320</v>
      </c>
      <c r="AM91" t="str">
        <f t="shared" si="29"/>
        <v>Lie</v>
      </c>
      <c r="AN91" s="4"/>
      <c r="AO91">
        <f t="shared" si="16"/>
        <v>2</v>
      </c>
      <c r="AP91">
        <f t="shared" si="17"/>
        <v>2</v>
      </c>
      <c r="AQ91">
        <f t="shared" si="18"/>
        <v>1</v>
      </c>
      <c r="AR91">
        <f t="shared" si="19"/>
        <v>6</v>
      </c>
      <c r="AS91">
        <f t="shared" si="30"/>
        <v>2</v>
      </c>
      <c r="AT91">
        <f t="shared" si="20"/>
        <v>1</v>
      </c>
      <c r="AU91">
        <f t="shared" si="21"/>
        <v>1</v>
      </c>
      <c r="AV91" s="19">
        <f t="shared" si="31"/>
        <v>1.5</v>
      </c>
      <c r="AW91" s="4"/>
      <c r="AY91">
        <v>4</v>
      </c>
      <c r="AZ91">
        <v>2</v>
      </c>
      <c r="BA91">
        <v>4</v>
      </c>
      <c r="BB91">
        <v>3</v>
      </c>
      <c r="BC91">
        <v>6</v>
      </c>
      <c r="BD91">
        <v>1</v>
      </c>
      <c r="BE91">
        <f t="shared" si="22"/>
        <v>10</v>
      </c>
      <c r="BF91">
        <f t="shared" si="23"/>
        <v>1</v>
      </c>
      <c r="BG91">
        <f t="shared" si="24"/>
        <v>11</v>
      </c>
      <c r="BI91">
        <v>3</v>
      </c>
      <c r="BJ91">
        <v>5</v>
      </c>
      <c r="BK91">
        <v>2</v>
      </c>
      <c r="BL91">
        <v>2</v>
      </c>
      <c r="BM91">
        <v>5</v>
      </c>
      <c r="BN91">
        <v>3</v>
      </c>
      <c r="BO91">
        <f t="shared" si="25"/>
        <v>6</v>
      </c>
      <c r="BP91">
        <f t="shared" si="26"/>
        <v>0</v>
      </c>
      <c r="BQ91">
        <f t="shared" si="27"/>
        <v>6</v>
      </c>
      <c r="BR91">
        <f t="shared" si="28"/>
        <v>17</v>
      </c>
    </row>
    <row r="92" spans="1:70" ht="30" x14ac:dyDescent="0.25">
      <c r="A92" s="2" t="s">
        <v>33</v>
      </c>
      <c r="B92">
        <v>100</v>
      </c>
      <c r="C92">
        <v>180</v>
      </c>
      <c r="D92" s="2" t="s">
        <v>62</v>
      </c>
      <c r="E92" s="1">
        <v>44478.396202071759</v>
      </c>
      <c r="F92" s="2" t="s">
        <v>63</v>
      </c>
      <c r="G92" s="2" t="s">
        <v>63</v>
      </c>
      <c r="H92" s="2" t="s">
        <v>63</v>
      </c>
      <c r="I92" s="2" t="s">
        <v>63</v>
      </c>
      <c r="J92" s="2" t="s">
        <v>64</v>
      </c>
      <c r="K92" s="2" t="s">
        <v>65</v>
      </c>
      <c r="L92" s="2" t="s">
        <v>71</v>
      </c>
      <c r="M92" s="2" t="s">
        <v>66</v>
      </c>
      <c r="N92" s="2" t="s">
        <v>66</v>
      </c>
      <c r="O92" s="2" t="s">
        <v>78</v>
      </c>
      <c r="P92" s="2" t="s">
        <v>66</v>
      </c>
      <c r="Q92" s="2" t="s">
        <v>66</v>
      </c>
      <c r="R92" s="2" t="s">
        <v>72</v>
      </c>
      <c r="S92">
        <v>3</v>
      </c>
      <c r="T92">
        <v>3</v>
      </c>
      <c r="U92">
        <v>4</v>
      </c>
      <c r="V92">
        <v>1</v>
      </c>
      <c r="W92">
        <v>5</v>
      </c>
      <c r="X92">
        <v>4</v>
      </c>
      <c r="Y92" s="2" t="s">
        <v>72</v>
      </c>
      <c r="Z92">
        <v>3</v>
      </c>
      <c r="AA92">
        <v>2</v>
      </c>
      <c r="AB92">
        <v>2</v>
      </c>
      <c r="AC92">
        <v>2</v>
      </c>
      <c r="AD92">
        <v>6</v>
      </c>
      <c r="AE92">
        <v>5</v>
      </c>
      <c r="AF92" s="10" t="s">
        <v>166</v>
      </c>
      <c r="AG92" s="4"/>
      <c r="AH92" s="8">
        <v>90</v>
      </c>
      <c r="AI92">
        <v>0</v>
      </c>
      <c r="AJ92">
        <v>2</v>
      </c>
      <c r="AK92" s="8" t="s">
        <v>315</v>
      </c>
      <c r="AL92" t="s">
        <v>319</v>
      </c>
      <c r="AM92" t="str">
        <f t="shared" si="29"/>
        <v>Lie</v>
      </c>
      <c r="AN92" s="4"/>
      <c r="AO92">
        <f t="shared" si="16"/>
        <v>2</v>
      </c>
      <c r="AP92">
        <f t="shared" si="17"/>
        <v>1</v>
      </c>
      <c r="AQ92">
        <f t="shared" si="18"/>
        <v>1</v>
      </c>
      <c r="AR92">
        <f t="shared" si="19"/>
        <v>7</v>
      </c>
      <c r="AS92">
        <f t="shared" si="30"/>
        <v>1</v>
      </c>
      <c r="AT92">
        <f t="shared" si="20"/>
        <v>1</v>
      </c>
      <c r="AU92">
        <f t="shared" si="21"/>
        <v>1</v>
      </c>
      <c r="AV92" s="19">
        <f t="shared" si="31"/>
        <v>1.1666666666666667</v>
      </c>
      <c r="AW92" s="4"/>
      <c r="AY92">
        <v>4</v>
      </c>
      <c r="AZ92">
        <v>1</v>
      </c>
      <c r="BA92">
        <v>0</v>
      </c>
      <c r="BB92">
        <v>4</v>
      </c>
      <c r="BC92">
        <v>8</v>
      </c>
      <c r="BD92">
        <v>3</v>
      </c>
      <c r="BE92">
        <f t="shared" si="22"/>
        <v>14</v>
      </c>
      <c r="BF92">
        <f t="shared" si="23"/>
        <v>0</v>
      </c>
      <c r="BG92">
        <f t="shared" si="24"/>
        <v>14</v>
      </c>
      <c r="BI92">
        <v>3</v>
      </c>
      <c r="BJ92">
        <v>2</v>
      </c>
      <c r="BK92">
        <v>0</v>
      </c>
      <c r="BL92">
        <v>3</v>
      </c>
      <c r="BM92">
        <v>8</v>
      </c>
      <c r="BN92">
        <v>4</v>
      </c>
      <c r="BO92">
        <f t="shared" si="25"/>
        <v>6</v>
      </c>
      <c r="BP92">
        <f t="shared" si="26"/>
        <v>1</v>
      </c>
      <c r="BQ92">
        <f t="shared" si="27"/>
        <v>7</v>
      </c>
      <c r="BR92">
        <f t="shared" si="28"/>
        <v>21</v>
      </c>
    </row>
    <row r="93" spans="1:70" ht="45" x14ac:dyDescent="0.25">
      <c r="A93" s="2" t="s">
        <v>33</v>
      </c>
      <c r="B93">
        <v>100</v>
      </c>
      <c r="C93">
        <v>491</v>
      </c>
      <c r="D93" s="2" t="s">
        <v>62</v>
      </c>
      <c r="E93" s="1">
        <v>44478.505609282409</v>
      </c>
      <c r="F93" s="2" t="s">
        <v>63</v>
      </c>
      <c r="G93" s="2" t="s">
        <v>63</v>
      </c>
      <c r="H93" s="2" t="s">
        <v>63</v>
      </c>
      <c r="I93" s="2" t="s">
        <v>63</v>
      </c>
      <c r="J93" s="2" t="s">
        <v>64</v>
      </c>
      <c r="K93" s="2" t="s">
        <v>65</v>
      </c>
      <c r="L93" s="2" t="s">
        <v>71</v>
      </c>
      <c r="M93" s="2" t="s">
        <v>74</v>
      </c>
      <c r="N93" s="2" t="s">
        <v>74</v>
      </c>
      <c r="O93" s="2" t="s">
        <v>81</v>
      </c>
      <c r="P93" s="2" t="s">
        <v>74</v>
      </c>
      <c r="Q93" s="2" t="s">
        <v>74</v>
      </c>
      <c r="R93" s="2" t="s">
        <v>69</v>
      </c>
      <c r="S93">
        <v>3</v>
      </c>
      <c r="T93">
        <v>1</v>
      </c>
      <c r="U93">
        <v>3</v>
      </c>
      <c r="V93">
        <v>5</v>
      </c>
      <c r="W93">
        <v>5</v>
      </c>
      <c r="X93">
        <v>3</v>
      </c>
      <c r="Y93" s="2" t="s">
        <v>69</v>
      </c>
      <c r="Z93">
        <v>3</v>
      </c>
      <c r="AA93">
        <v>5</v>
      </c>
      <c r="AB93">
        <v>4</v>
      </c>
      <c r="AC93">
        <v>3</v>
      </c>
      <c r="AD93">
        <v>3</v>
      </c>
      <c r="AE93">
        <v>2</v>
      </c>
      <c r="AF93" s="10" t="s">
        <v>167</v>
      </c>
      <c r="AG93" s="4"/>
      <c r="AH93" s="8">
        <v>91</v>
      </c>
      <c r="AI93">
        <v>0</v>
      </c>
      <c r="AJ93">
        <v>0</v>
      </c>
      <c r="AK93" s="8" t="s">
        <v>317</v>
      </c>
      <c r="AL93" t="s">
        <v>318</v>
      </c>
      <c r="AM93" t="str">
        <f t="shared" si="29"/>
        <v>Honest</v>
      </c>
      <c r="AN93" s="4"/>
      <c r="AO93">
        <f t="shared" si="16"/>
        <v>2</v>
      </c>
      <c r="AP93">
        <f t="shared" si="17"/>
        <v>3</v>
      </c>
      <c r="AQ93">
        <f t="shared" si="18"/>
        <v>3</v>
      </c>
      <c r="AR93">
        <f t="shared" si="19"/>
        <v>5</v>
      </c>
      <c r="AS93">
        <f t="shared" si="30"/>
        <v>3</v>
      </c>
      <c r="AT93">
        <f t="shared" si="20"/>
        <v>3</v>
      </c>
      <c r="AU93">
        <f t="shared" si="21"/>
        <v>3</v>
      </c>
      <c r="AV93" s="19">
        <f t="shared" si="31"/>
        <v>2.8333333333333335</v>
      </c>
      <c r="AW93" s="4"/>
      <c r="AY93">
        <v>3</v>
      </c>
      <c r="AZ93">
        <v>4</v>
      </c>
      <c r="BA93">
        <v>4</v>
      </c>
      <c r="BB93">
        <v>3</v>
      </c>
      <c r="BC93">
        <v>3</v>
      </c>
      <c r="BD93">
        <v>3</v>
      </c>
      <c r="BE93">
        <f t="shared" si="22"/>
        <v>8</v>
      </c>
      <c r="BF93">
        <f t="shared" si="23"/>
        <v>1</v>
      </c>
      <c r="BG93">
        <f t="shared" si="24"/>
        <v>9</v>
      </c>
      <c r="BI93">
        <v>3</v>
      </c>
      <c r="BJ93">
        <v>4</v>
      </c>
      <c r="BK93">
        <v>4</v>
      </c>
      <c r="BL93">
        <v>3</v>
      </c>
      <c r="BM93">
        <v>3</v>
      </c>
      <c r="BN93">
        <v>3</v>
      </c>
      <c r="BO93">
        <f t="shared" si="25"/>
        <v>2</v>
      </c>
      <c r="BP93">
        <f t="shared" si="26"/>
        <v>0</v>
      </c>
      <c r="BQ93">
        <f t="shared" si="27"/>
        <v>2</v>
      </c>
      <c r="BR93">
        <f t="shared" si="28"/>
        <v>11</v>
      </c>
    </row>
    <row r="94" spans="1:70" ht="45" x14ac:dyDescent="0.25">
      <c r="A94" s="2" t="s">
        <v>33</v>
      </c>
      <c r="B94">
        <v>100</v>
      </c>
      <c r="C94">
        <v>270</v>
      </c>
      <c r="D94" s="2" t="s">
        <v>62</v>
      </c>
      <c r="E94" s="1">
        <v>44478.928267326388</v>
      </c>
      <c r="F94" s="2" t="s">
        <v>63</v>
      </c>
      <c r="G94" s="2" t="s">
        <v>63</v>
      </c>
      <c r="H94" s="2" t="s">
        <v>63</v>
      </c>
      <c r="I94" s="2" t="s">
        <v>63</v>
      </c>
      <c r="J94" s="2" t="s">
        <v>64</v>
      </c>
      <c r="K94" s="2" t="s">
        <v>65</v>
      </c>
      <c r="L94" s="2" t="s">
        <v>66</v>
      </c>
      <c r="M94" s="2" t="s">
        <v>74</v>
      </c>
      <c r="N94" s="2" t="s">
        <v>66</v>
      </c>
      <c r="O94" s="2" t="s">
        <v>81</v>
      </c>
      <c r="P94" s="2" t="s">
        <v>74</v>
      </c>
      <c r="Q94" s="2" t="s">
        <v>71</v>
      </c>
      <c r="R94" s="2" t="s">
        <v>72</v>
      </c>
      <c r="S94">
        <v>4</v>
      </c>
      <c r="T94">
        <v>1</v>
      </c>
      <c r="U94">
        <v>4</v>
      </c>
      <c r="V94">
        <v>2</v>
      </c>
      <c r="W94">
        <v>3</v>
      </c>
      <c r="X94">
        <v>6</v>
      </c>
      <c r="Y94" s="2" t="s">
        <v>72</v>
      </c>
      <c r="Z94">
        <v>4</v>
      </c>
      <c r="AA94">
        <v>1</v>
      </c>
      <c r="AB94">
        <v>4</v>
      </c>
      <c r="AC94">
        <v>2</v>
      </c>
      <c r="AD94">
        <v>3</v>
      </c>
      <c r="AE94">
        <v>6</v>
      </c>
      <c r="AF94" s="10" t="s">
        <v>168</v>
      </c>
      <c r="AG94" s="4"/>
      <c r="AH94" s="8">
        <v>92</v>
      </c>
      <c r="AI94">
        <v>0</v>
      </c>
      <c r="AJ94">
        <v>0</v>
      </c>
      <c r="AK94" s="8" t="s">
        <v>315</v>
      </c>
      <c r="AL94" t="s">
        <v>316</v>
      </c>
      <c r="AM94" t="str">
        <f t="shared" si="29"/>
        <v>Honest</v>
      </c>
      <c r="AN94" s="4"/>
      <c r="AO94">
        <f t="shared" si="16"/>
        <v>1</v>
      </c>
      <c r="AP94">
        <f t="shared" si="17"/>
        <v>3</v>
      </c>
      <c r="AQ94">
        <f t="shared" si="18"/>
        <v>1</v>
      </c>
      <c r="AR94">
        <f t="shared" si="19"/>
        <v>5</v>
      </c>
      <c r="AS94">
        <f t="shared" si="30"/>
        <v>3</v>
      </c>
      <c r="AT94">
        <f t="shared" si="20"/>
        <v>3</v>
      </c>
      <c r="AU94">
        <f t="shared" si="21"/>
        <v>2</v>
      </c>
      <c r="AV94" s="19">
        <f t="shared" si="31"/>
        <v>2.1666666666666665</v>
      </c>
      <c r="AW94" s="4"/>
      <c r="AY94">
        <v>2</v>
      </c>
      <c r="AZ94">
        <v>1</v>
      </c>
      <c r="BA94">
        <v>5</v>
      </c>
      <c r="BB94">
        <v>2</v>
      </c>
      <c r="BC94">
        <v>4</v>
      </c>
      <c r="BD94">
        <v>6</v>
      </c>
      <c r="BE94">
        <f t="shared" si="22"/>
        <v>4</v>
      </c>
      <c r="BF94">
        <f t="shared" si="23"/>
        <v>0</v>
      </c>
      <c r="BG94">
        <f t="shared" si="24"/>
        <v>4</v>
      </c>
      <c r="BI94">
        <v>2</v>
      </c>
      <c r="BJ94">
        <v>1</v>
      </c>
      <c r="BK94">
        <v>5</v>
      </c>
      <c r="BL94">
        <v>2</v>
      </c>
      <c r="BM94">
        <v>4</v>
      </c>
      <c r="BN94">
        <v>6</v>
      </c>
      <c r="BO94">
        <f t="shared" si="25"/>
        <v>4</v>
      </c>
      <c r="BP94">
        <f t="shared" si="26"/>
        <v>1</v>
      </c>
      <c r="BQ94">
        <f t="shared" si="27"/>
        <v>5</v>
      </c>
      <c r="BR94">
        <f t="shared" si="28"/>
        <v>9</v>
      </c>
    </row>
    <row r="95" spans="1:70" ht="30" x14ac:dyDescent="0.25">
      <c r="A95" s="2" t="s">
        <v>33</v>
      </c>
      <c r="B95">
        <v>100</v>
      </c>
      <c r="C95">
        <v>269</v>
      </c>
      <c r="D95" s="2" t="s">
        <v>62</v>
      </c>
      <c r="E95" s="1">
        <v>44479.025834733795</v>
      </c>
      <c r="F95" s="2" t="s">
        <v>63</v>
      </c>
      <c r="G95" s="2" t="s">
        <v>63</v>
      </c>
      <c r="H95" s="2" t="s">
        <v>63</v>
      </c>
      <c r="I95" s="2" t="s">
        <v>63</v>
      </c>
      <c r="J95" s="2" t="s">
        <v>64</v>
      </c>
      <c r="K95" s="2" t="s">
        <v>65</v>
      </c>
      <c r="L95" s="2" t="s">
        <v>66</v>
      </c>
      <c r="M95" s="2" t="s">
        <v>74</v>
      </c>
      <c r="N95" s="2" t="s">
        <v>66</v>
      </c>
      <c r="O95" s="2" t="s">
        <v>78</v>
      </c>
      <c r="P95" s="2" t="s">
        <v>71</v>
      </c>
      <c r="Q95" s="2" t="s">
        <v>71</v>
      </c>
      <c r="R95" s="2" t="s">
        <v>72</v>
      </c>
      <c r="S95">
        <v>3</v>
      </c>
      <c r="T95">
        <v>4</v>
      </c>
      <c r="U95">
        <v>4</v>
      </c>
      <c r="V95">
        <v>4</v>
      </c>
      <c r="W95">
        <v>3</v>
      </c>
      <c r="X95">
        <v>2</v>
      </c>
      <c r="Y95" s="2" t="s">
        <v>72</v>
      </c>
      <c r="Z95">
        <v>4</v>
      </c>
      <c r="AA95">
        <v>3</v>
      </c>
      <c r="AB95">
        <v>5</v>
      </c>
      <c r="AC95">
        <v>3</v>
      </c>
      <c r="AD95">
        <v>4</v>
      </c>
      <c r="AE95">
        <v>1</v>
      </c>
      <c r="AF95" s="10" t="s">
        <v>169</v>
      </c>
      <c r="AG95" s="4"/>
      <c r="AH95" s="8">
        <v>93</v>
      </c>
      <c r="AI95">
        <v>0</v>
      </c>
      <c r="AJ95">
        <v>0</v>
      </c>
      <c r="AK95" s="8" t="s">
        <v>315</v>
      </c>
      <c r="AL95" t="s">
        <v>316</v>
      </c>
      <c r="AM95" t="str">
        <f t="shared" si="29"/>
        <v>Honest</v>
      </c>
      <c r="AN95" s="4"/>
      <c r="AO95">
        <f t="shared" si="16"/>
        <v>1</v>
      </c>
      <c r="AP95">
        <f t="shared" si="17"/>
        <v>3</v>
      </c>
      <c r="AQ95">
        <f t="shared" si="18"/>
        <v>1</v>
      </c>
      <c r="AR95">
        <f t="shared" si="19"/>
        <v>7</v>
      </c>
      <c r="AS95">
        <f t="shared" si="30"/>
        <v>1</v>
      </c>
      <c r="AT95">
        <f t="shared" si="20"/>
        <v>2</v>
      </c>
      <c r="AU95">
        <f t="shared" si="21"/>
        <v>2</v>
      </c>
      <c r="AV95" s="19">
        <f t="shared" si="31"/>
        <v>1.6666666666666667</v>
      </c>
      <c r="AW95" s="4"/>
      <c r="AY95">
        <v>6</v>
      </c>
      <c r="AZ95">
        <v>2</v>
      </c>
      <c r="BA95">
        <v>5</v>
      </c>
      <c r="BB95">
        <v>5</v>
      </c>
      <c r="BC95">
        <v>2</v>
      </c>
      <c r="BD95">
        <v>0</v>
      </c>
      <c r="BE95">
        <f t="shared" si="22"/>
        <v>10</v>
      </c>
      <c r="BF95">
        <f t="shared" si="23"/>
        <v>0</v>
      </c>
      <c r="BG95">
        <f t="shared" si="24"/>
        <v>10</v>
      </c>
      <c r="BI95">
        <v>6</v>
      </c>
      <c r="BJ95">
        <v>2</v>
      </c>
      <c r="BK95">
        <v>5</v>
      </c>
      <c r="BL95">
        <v>5</v>
      </c>
      <c r="BM95">
        <v>2</v>
      </c>
      <c r="BN95">
        <v>0</v>
      </c>
      <c r="BO95">
        <f t="shared" si="25"/>
        <v>8</v>
      </c>
      <c r="BP95">
        <f t="shared" si="26"/>
        <v>1</v>
      </c>
      <c r="BQ95">
        <f t="shared" si="27"/>
        <v>9</v>
      </c>
      <c r="BR95">
        <f t="shared" si="28"/>
        <v>19</v>
      </c>
    </row>
    <row r="96" spans="1:70" ht="45" x14ac:dyDescent="0.25">
      <c r="A96" s="2" t="s">
        <v>33</v>
      </c>
      <c r="B96">
        <v>100</v>
      </c>
      <c r="C96">
        <v>272</v>
      </c>
      <c r="D96" s="2" t="s">
        <v>62</v>
      </c>
      <c r="E96" s="1">
        <v>44479.059239710645</v>
      </c>
      <c r="F96" s="2" t="s">
        <v>63</v>
      </c>
      <c r="G96" s="2" t="s">
        <v>63</v>
      </c>
      <c r="H96" s="2" t="s">
        <v>63</v>
      </c>
      <c r="I96" s="2" t="s">
        <v>63</v>
      </c>
      <c r="J96" s="2" t="s">
        <v>64</v>
      </c>
      <c r="K96" s="2" t="s">
        <v>65</v>
      </c>
      <c r="L96" s="2" t="s">
        <v>71</v>
      </c>
      <c r="M96" s="2" t="s">
        <v>71</v>
      </c>
      <c r="N96" s="2" t="s">
        <v>71</v>
      </c>
      <c r="O96" s="2" t="s">
        <v>81</v>
      </c>
      <c r="P96" s="2" t="s">
        <v>71</v>
      </c>
      <c r="Q96" s="2" t="s">
        <v>71</v>
      </c>
      <c r="R96" s="2" t="s">
        <v>69</v>
      </c>
      <c r="S96">
        <v>4</v>
      </c>
      <c r="T96">
        <v>3</v>
      </c>
      <c r="U96">
        <v>2</v>
      </c>
      <c r="V96">
        <v>4</v>
      </c>
      <c r="W96">
        <v>4</v>
      </c>
      <c r="X96">
        <v>3</v>
      </c>
      <c r="Y96" s="2" t="s">
        <v>69</v>
      </c>
      <c r="Z96">
        <v>3</v>
      </c>
      <c r="AA96">
        <v>2</v>
      </c>
      <c r="AB96">
        <v>3</v>
      </c>
      <c r="AC96">
        <v>4</v>
      </c>
      <c r="AD96">
        <v>4</v>
      </c>
      <c r="AE96">
        <v>4</v>
      </c>
      <c r="AF96" s="10" t="s">
        <v>170</v>
      </c>
      <c r="AG96" s="4"/>
      <c r="AH96" s="8">
        <v>94</v>
      </c>
      <c r="AI96">
        <v>0</v>
      </c>
      <c r="AJ96">
        <v>0</v>
      </c>
      <c r="AK96" s="8" t="s">
        <v>317</v>
      </c>
      <c r="AL96" t="s">
        <v>318</v>
      </c>
      <c r="AM96" t="str">
        <f t="shared" si="29"/>
        <v>Honest</v>
      </c>
      <c r="AN96" s="4"/>
      <c r="AO96">
        <f t="shared" si="16"/>
        <v>2</v>
      </c>
      <c r="AP96">
        <f t="shared" si="17"/>
        <v>2</v>
      </c>
      <c r="AQ96">
        <f t="shared" si="18"/>
        <v>2</v>
      </c>
      <c r="AR96">
        <f t="shared" si="19"/>
        <v>5</v>
      </c>
      <c r="AS96">
        <f t="shared" si="30"/>
        <v>3</v>
      </c>
      <c r="AT96">
        <f t="shared" si="20"/>
        <v>2</v>
      </c>
      <c r="AU96">
        <f t="shared" si="21"/>
        <v>2</v>
      </c>
      <c r="AV96" s="19">
        <f t="shared" si="31"/>
        <v>2.1666666666666665</v>
      </c>
      <c r="AW96" s="4"/>
      <c r="AY96">
        <v>5</v>
      </c>
      <c r="AZ96">
        <v>2</v>
      </c>
      <c r="BA96">
        <v>1</v>
      </c>
      <c r="BB96">
        <v>3</v>
      </c>
      <c r="BC96">
        <v>5</v>
      </c>
      <c r="BD96">
        <v>4</v>
      </c>
      <c r="BE96">
        <f t="shared" si="22"/>
        <v>6</v>
      </c>
      <c r="BF96">
        <f t="shared" si="23"/>
        <v>1</v>
      </c>
      <c r="BG96">
        <f t="shared" si="24"/>
        <v>7</v>
      </c>
      <c r="BI96">
        <v>5</v>
      </c>
      <c r="BJ96">
        <v>2</v>
      </c>
      <c r="BK96">
        <v>1</v>
      </c>
      <c r="BL96">
        <v>3</v>
      </c>
      <c r="BM96">
        <v>5</v>
      </c>
      <c r="BN96">
        <v>4</v>
      </c>
      <c r="BO96">
        <f t="shared" si="25"/>
        <v>6</v>
      </c>
      <c r="BP96">
        <f t="shared" si="26"/>
        <v>0</v>
      </c>
      <c r="BQ96">
        <f t="shared" si="27"/>
        <v>6</v>
      </c>
      <c r="BR96">
        <f t="shared" si="28"/>
        <v>13</v>
      </c>
    </row>
    <row r="97" spans="1:70" ht="60" x14ac:dyDescent="0.25">
      <c r="A97" s="2" t="s">
        <v>33</v>
      </c>
      <c r="B97">
        <v>100</v>
      </c>
      <c r="C97">
        <v>275</v>
      </c>
      <c r="D97" s="2" t="s">
        <v>62</v>
      </c>
      <c r="E97" s="1">
        <v>44479.089278101848</v>
      </c>
      <c r="F97" s="2" t="s">
        <v>63</v>
      </c>
      <c r="G97" s="2" t="s">
        <v>63</v>
      </c>
      <c r="H97" s="2" t="s">
        <v>63</v>
      </c>
      <c r="I97" s="2" t="s">
        <v>63</v>
      </c>
      <c r="J97" s="2" t="s">
        <v>64</v>
      </c>
      <c r="K97" s="2" t="s">
        <v>65</v>
      </c>
      <c r="L97" s="2" t="s">
        <v>66</v>
      </c>
      <c r="M97" s="2" t="s">
        <v>75</v>
      </c>
      <c r="N97" s="2" t="s">
        <v>66</v>
      </c>
      <c r="O97" s="2" t="s">
        <v>75</v>
      </c>
      <c r="P97" s="2" t="s">
        <v>74</v>
      </c>
      <c r="Q97" s="2" t="s">
        <v>67</v>
      </c>
      <c r="R97" s="2" t="s">
        <v>72</v>
      </c>
      <c r="S97">
        <v>2</v>
      </c>
      <c r="T97">
        <v>5</v>
      </c>
      <c r="U97">
        <v>4</v>
      </c>
      <c r="V97">
        <v>2</v>
      </c>
      <c r="W97">
        <v>5</v>
      </c>
      <c r="X97">
        <v>2</v>
      </c>
      <c r="Y97" s="2" t="s">
        <v>72</v>
      </c>
      <c r="Z97">
        <v>2</v>
      </c>
      <c r="AA97">
        <v>5</v>
      </c>
      <c r="AB97">
        <v>4</v>
      </c>
      <c r="AC97">
        <v>2</v>
      </c>
      <c r="AD97">
        <v>5</v>
      </c>
      <c r="AE97">
        <v>2</v>
      </c>
      <c r="AF97" s="10" t="s">
        <v>171</v>
      </c>
      <c r="AG97" s="4"/>
      <c r="AH97" s="8">
        <v>95</v>
      </c>
      <c r="AI97">
        <v>0</v>
      </c>
      <c r="AJ97">
        <v>0</v>
      </c>
      <c r="AK97" s="8" t="s">
        <v>315</v>
      </c>
      <c r="AL97" t="s">
        <v>316</v>
      </c>
      <c r="AM97" t="str">
        <f t="shared" si="29"/>
        <v>Honest</v>
      </c>
      <c r="AN97" s="4"/>
      <c r="AO97">
        <f t="shared" si="16"/>
        <v>1</v>
      </c>
      <c r="AP97">
        <f t="shared" si="17"/>
        <v>4</v>
      </c>
      <c r="AQ97">
        <f t="shared" si="18"/>
        <v>1</v>
      </c>
      <c r="AR97">
        <f t="shared" si="19"/>
        <v>4</v>
      </c>
      <c r="AS97">
        <f t="shared" si="30"/>
        <v>4</v>
      </c>
      <c r="AT97">
        <f t="shared" si="20"/>
        <v>3</v>
      </c>
      <c r="AU97">
        <f t="shared" si="21"/>
        <v>6</v>
      </c>
      <c r="AV97" s="19">
        <f t="shared" si="31"/>
        <v>3.1666666666666665</v>
      </c>
      <c r="AW97" s="4"/>
      <c r="AY97">
        <v>1</v>
      </c>
      <c r="AZ97">
        <v>6</v>
      </c>
      <c r="BA97">
        <v>2</v>
      </c>
      <c r="BB97">
        <v>4</v>
      </c>
      <c r="BC97">
        <v>4</v>
      </c>
      <c r="BD97">
        <v>3</v>
      </c>
      <c r="BE97">
        <f t="shared" si="22"/>
        <v>8</v>
      </c>
      <c r="BF97">
        <f t="shared" si="23"/>
        <v>0</v>
      </c>
      <c r="BG97">
        <f t="shared" si="24"/>
        <v>8</v>
      </c>
      <c r="BI97">
        <v>1</v>
      </c>
      <c r="BJ97">
        <v>5</v>
      </c>
      <c r="BK97">
        <v>2</v>
      </c>
      <c r="BL97">
        <v>5</v>
      </c>
      <c r="BM97">
        <v>4</v>
      </c>
      <c r="BN97">
        <v>3</v>
      </c>
      <c r="BO97">
        <f t="shared" si="25"/>
        <v>8</v>
      </c>
      <c r="BP97">
        <f t="shared" si="26"/>
        <v>1</v>
      </c>
      <c r="BQ97">
        <f t="shared" si="27"/>
        <v>9</v>
      </c>
      <c r="BR97">
        <f t="shared" si="28"/>
        <v>17</v>
      </c>
    </row>
    <row r="98" spans="1:70" ht="30" x14ac:dyDescent="0.25">
      <c r="A98" s="2" t="s">
        <v>33</v>
      </c>
      <c r="B98">
        <v>100</v>
      </c>
      <c r="C98">
        <v>248</v>
      </c>
      <c r="D98" s="2" t="s">
        <v>62</v>
      </c>
      <c r="E98" s="1">
        <v>44479.116169629633</v>
      </c>
      <c r="F98" s="2" t="s">
        <v>63</v>
      </c>
      <c r="G98" s="2" t="s">
        <v>63</v>
      </c>
      <c r="H98" s="2" t="s">
        <v>63</v>
      </c>
      <c r="I98" s="2" t="s">
        <v>63</v>
      </c>
      <c r="J98" s="2" t="s">
        <v>64</v>
      </c>
      <c r="K98" s="2" t="s">
        <v>65</v>
      </c>
      <c r="L98" s="2" t="s">
        <v>71</v>
      </c>
      <c r="M98" s="2" t="s">
        <v>74</v>
      </c>
      <c r="N98" s="2" t="s">
        <v>71</v>
      </c>
      <c r="O98" s="2" t="s">
        <v>67</v>
      </c>
      <c r="P98" s="2" t="s">
        <v>71</v>
      </c>
      <c r="Q98" s="2" t="s">
        <v>71</v>
      </c>
      <c r="R98" s="2" t="s">
        <v>72</v>
      </c>
      <c r="S98">
        <v>3</v>
      </c>
      <c r="T98">
        <v>3</v>
      </c>
      <c r="U98">
        <v>3</v>
      </c>
      <c r="V98">
        <v>5</v>
      </c>
      <c r="W98">
        <v>3</v>
      </c>
      <c r="X98">
        <v>3</v>
      </c>
      <c r="Y98" s="2" t="s">
        <v>68</v>
      </c>
      <c r="Z98">
        <v>3</v>
      </c>
      <c r="AA98">
        <v>3</v>
      </c>
      <c r="AB98">
        <v>3</v>
      </c>
      <c r="AC98">
        <v>5</v>
      </c>
      <c r="AD98">
        <v>3</v>
      </c>
      <c r="AE98">
        <v>3</v>
      </c>
      <c r="AF98" s="10" t="s">
        <v>172</v>
      </c>
      <c r="AG98" s="4"/>
      <c r="AH98" s="8">
        <v>96</v>
      </c>
      <c r="AI98">
        <v>0</v>
      </c>
      <c r="AJ98">
        <v>0</v>
      </c>
      <c r="AK98" s="8" t="s">
        <v>317</v>
      </c>
      <c r="AL98" t="s">
        <v>318</v>
      </c>
      <c r="AM98" t="str">
        <f t="shared" si="29"/>
        <v>Honest</v>
      </c>
      <c r="AN98" s="4"/>
      <c r="AO98">
        <f t="shared" si="16"/>
        <v>2</v>
      </c>
      <c r="AP98">
        <f t="shared" si="17"/>
        <v>3</v>
      </c>
      <c r="AQ98">
        <f t="shared" si="18"/>
        <v>2</v>
      </c>
      <c r="AR98">
        <f t="shared" si="19"/>
        <v>6</v>
      </c>
      <c r="AS98">
        <f t="shared" si="30"/>
        <v>2</v>
      </c>
      <c r="AT98">
        <f t="shared" si="20"/>
        <v>2</v>
      </c>
      <c r="AU98">
        <f t="shared" si="21"/>
        <v>2</v>
      </c>
      <c r="AV98" s="19">
        <f t="shared" si="31"/>
        <v>2.1666666666666665</v>
      </c>
      <c r="AW98" s="4"/>
      <c r="AY98">
        <v>3</v>
      </c>
      <c r="AZ98">
        <v>2</v>
      </c>
      <c r="BA98">
        <v>6</v>
      </c>
      <c r="BB98">
        <v>6</v>
      </c>
      <c r="BC98">
        <v>1</v>
      </c>
      <c r="BD98">
        <v>2</v>
      </c>
      <c r="BE98">
        <f t="shared" si="22"/>
        <v>8</v>
      </c>
      <c r="BF98">
        <f t="shared" si="23"/>
        <v>0</v>
      </c>
      <c r="BG98">
        <f t="shared" si="24"/>
        <v>8</v>
      </c>
      <c r="BI98">
        <v>3</v>
      </c>
      <c r="BJ98">
        <v>2</v>
      </c>
      <c r="BK98">
        <v>6</v>
      </c>
      <c r="BL98">
        <v>6</v>
      </c>
      <c r="BM98">
        <v>1</v>
      </c>
      <c r="BN98">
        <v>2</v>
      </c>
      <c r="BO98">
        <f t="shared" si="25"/>
        <v>8</v>
      </c>
      <c r="BP98">
        <f t="shared" si="26"/>
        <v>1</v>
      </c>
      <c r="BQ98">
        <f t="shared" si="27"/>
        <v>9</v>
      </c>
      <c r="BR98">
        <f t="shared" si="28"/>
        <v>17</v>
      </c>
    </row>
    <row r="99" spans="1:70" ht="30" x14ac:dyDescent="0.25">
      <c r="A99" s="2" t="s">
        <v>33</v>
      </c>
      <c r="B99">
        <v>100</v>
      </c>
      <c r="C99">
        <v>217</v>
      </c>
      <c r="D99" s="2" t="s">
        <v>62</v>
      </c>
      <c r="E99" s="1">
        <v>44479.118550069441</v>
      </c>
      <c r="F99" s="2" t="s">
        <v>63</v>
      </c>
      <c r="G99" s="2" t="s">
        <v>63</v>
      </c>
      <c r="H99" s="2" t="s">
        <v>63</v>
      </c>
      <c r="I99" s="2" t="s">
        <v>63</v>
      </c>
      <c r="J99" s="2" t="s">
        <v>64</v>
      </c>
      <c r="K99" s="2" t="s">
        <v>65</v>
      </c>
      <c r="L99" s="2" t="s">
        <v>71</v>
      </c>
      <c r="M99" s="2" t="s">
        <v>71</v>
      </c>
      <c r="N99" s="2" t="s">
        <v>71</v>
      </c>
      <c r="O99" s="2" t="s">
        <v>67</v>
      </c>
      <c r="P99" s="2" t="s">
        <v>71</v>
      </c>
      <c r="Q99" s="2" t="s">
        <v>71</v>
      </c>
      <c r="R99" s="2" t="s">
        <v>72</v>
      </c>
      <c r="S99">
        <v>3</v>
      </c>
      <c r="T99">
        <v>4</v>
      </c>
      <c r="U99">
        <v>3</v>
      </c>
      <c r="V99">
        <v>3</v>
      </c>
      <c r="W99">
        <v>3</v>
      </c>
      <c r="X99">
        <v>4</v>
      </c>
      <c r="Y99" s="2" t="s">
        <v>72</v>
      </c>
      <c r="Z99">
        <v>4</v>
      </c>
      <c r="AA99">
        <v>3</v>
      </c>
      <c r="AB99">
        <v>3</v>
      </c>
      <c r="AC99">
        <v>3</v>
      </c>
      <c r="AD99">
        <v>4</v>
      </c>
      <c r="AE99">
        <v>3</v>
      </c>
      <c r="AF99" s="10" t="s">
        <v>173</v>
      </c>
      <c r="AG99" s="4"/>
      <c r="AH99" s="8">
        <v>97</v>
      </c>
      <c r="AI99">
        <v>0</v>
      </c>
      <c r="AJ99">
        <v>8</v>
      </c>
      <c r="AK99" s="8" t="s">
        <v>317</v>
      </c>
      <c r="AL99" t="s">
        <v>320</v>
      </c>
      <c r="AM99" t="str">
        <f t="shared" si="29"/>
        <v>Lie</v>
      </c>
      <c r="AN99" s="4"/>
      <c r="AO99">
        <f t="shared" si="16"/>
        <v>2</v>
      </c>
      <c r="AP99">
        <f t="shared" si="17"/>
        <v>2</v>
      </c>
      <c r="AQ99">
        <f t="shared" si="18"/>
        <v>2</v>
      </c>
      <c r="AR99">
        <f t="shared" si="19"/>
        <v>6</v>
      </c>
      <c r="AS99">
        <f t="shared" si="30"/>
        <v>2</v>
      </c>
      <c r="AT99">
        <f t="shared" si="20"/>
        <v>2</v>
      </c>
      <c r="AU99">
        <f t="shared" si="21"/>
        <v>2</v>
      </c>
      <c r="AV99" s="19">
        <f t="shared" si="31"/>
        <v>2</v>
      </c>
      <c r="AW99" s="4"/>
      <c r="AY99">
        <v>2</v>
      </c>
      <c r="AZ99">
        <v>3</v>
      </c>
      <c r="BA99">
        <v>7</v>
      </c>
      <c r="BB99">
        <v>4</v>
      </c>
      <c r="BC99">
        <v>0</v>
      </c>
      <c r="BD99">
        <v>4</v>
      </c>
      <c r="BE99">
        <f t="shared" si="22"/>
        <v>10</v>
      </c>
      <c r="BF99">
        <f t="shared" si="23"/>
        <v>0</v>
      </c>
      <c r="BG99">
        <f t="shared" si="24"/>
        <v>10</v>
      </c>
      <c r="BI99">
        <v>3</v>
      </c>
      <c r="BJ99">
        <v>5</v>
      </c>
      <c r="BK99">
        <v>3</v>
      </c>
      <c r="BL99">
        <v>2</v>
      </c>
      <c r="BM99">
        <v>3</v>
      </c>
      <c r="BN99">
        <v>4</v>
      </c>
      <c r="BO99">
        <f t="shared" si="25"/>
        <v>6</v>
      </c>
      <c r="BP99">
        <f t="shared" si="26"/>
        <v>1</v>
      </c>
      <c r="BQ99">
        <f t="shared" si="27"/>
        <v>7</v>
      </c>
      <c r="BR99">
        <f t="shared" si="28"/>
        <v>17</v>
      </c>
    </row>
    <row r="100" spans="1:70" ht="30" x14ac:dyDescent="0.25">
      <c r="A100" s="2" t="s">
        <v>33</v>
      </c>
      <c r="B100">
        <v>100</v>
      </c>
      <c r="C100">
        <v>214</v>
      </c>
      <c r="D100" s="2" t="s">
        <v>62</v>
      </c>
      <c r="E100" s="1">
        <v>44479.141842384262</v>
      </c>
      <c r="F100" s="2" t="s">
        <v>63</v>
      </c>
      <c r="G100" s="2" t="s">
        <v>63</v>
      </c>
      <c r="H100" s="2" t="s">
        <v>63</v>
      </c>
      <c r="I100" s="2" t="s">
        <v>63</v>
      </c>
      <c r="J100" s="2" t="s">
        <v>64</v>
      </c>
      <c r="K100" s="2" t="s">
        <v>65</v>
      </c>
      <c r="L100" s="2" t="s">
        <v>66</v>
      </c>
      <c r="M100" s="2" t="s">
        <v>71</v>
      </c>
      <c r="N100" s="2" t="s">
        <v>66</v>
      </c>
      <c r="O100" s="2" t="s">
        <v>67</v>
      </c>
      <c r="P100" s="2" t="s">
        <v>71</v>
      </c>
      <c r="Q100" s="2" t="s">
        <v>71</v>
      </c>
      <c r="R100" s="2" t="s">
        <v>69</v>
      </c>
      <c r="S100">
        <v>5</v>
      </c>
      <c r="T100">
        <v>4</v>
      </c>
      <c r="U100">
        <v>0</v>
      </c>
      <c r="V100">
        <v>4</v>
      </c>
      <c r="W100">
        <v>3</v>
      </c>
      <c r="X100">
        <v>4</v>
      </c>
      <c r="Y100" s="2" t="s">
        <v>69</v>
      </c>
      <c r="Z100">
        <v>4</v>
      </c>
      <c r="AA100">
        <v>4</v>
      </c>
      <c r="AB100">
        <v>5</v>
      </c>
      <c r="AC100">
        <v>5</v>
      </c>
      <c r="AD100">
        <v>0</v>
      </c>
      <c r="AE100">
        <v>2</v>
      </c>
      <c r="AF100" s="10" t="s">
        <v>174</v>
      </c>
      <c r="AG100" s="4"/>
      <c r="AH100" s="8">
        <v>98</v>
      </c>
      <c r="AI100">
        <v>0</v>
      </c>
      <c r="AJ100">
        <v>0</v>
      </c>
      <c r="AK100" s="8" t="s">
        <v>317</v>
      </c>
      <c r="AL100" t="s">
        <v>318</v>
      </c>
      <c r="AM100" t="str">
        <f t="shared" si="29"/>
        <v>Honest</v>
      </c>
      <c r="AN100" s="4"/>
      <c r="AO100">
        <f t="shared" si="16"/>
        <v>1</v>
      </c>
      <c r="AP100">
        <f t="shared" si="17"/>
        <v>2</v>
      </c>
      <c r="AQ100">
        <f t="shared" si="18"/>
        <v>1</v>
      </c>
      <c r="AR100">
        <f t="shared" si="19"/>
        <v>6</v>
      </c>
      <c r="AS100">
        <f t="shared" si="30"/>
        <v>2</v>
      </c>
      <c r="AT100">
        <f t="shared" si="20"/>
        <v>2</v>
      </c>
      <c r="AU100">
        <f t="shared" si="21"/>
        <v>2</v>
      </c>
      <c r="AV100" s="19">
        <f t="shared" si="31"/>
        <v>1.6666666666666667</v>
      </c>
      <c r="AW100" s="4"/>
      <c r="AY100">
        <v>5</v>
      </c>
      <c r="AZ100">
        <v>4</v>
      </c>
      <c r="BA100">
        <v>2</v>
      </c>
      <c r="BB100">
        <v>4</v>
      </c>
      <c r="BC100">
        <v>2</v>
      </c>
      <c r="BD100">
        <v>3</v>
      </c>
      <c r="BE100">
        <f t="shared" si="22"/>
        <v>4</v>
      </c>
      <c r="BF100">
        <f t="shared" si="23"/>
        <v>1</v>
      </c>
      <c r="BG100">
        <f t="shared" si="24"/>
        <v>5</v>
      </c>
      <c r="BI100">
        <v>5</v>
      </c>
      <c r="BJ100">
        <v>4</v>
      </c>
      <c r="BK100">
        <v>2</v>
      </c>
      <c r="BL100">
        <v>4</v>
      </c>
      <c r="BM100">
        <v>2</v>
      </c>
      <c r="BN100">
        <v>3</v>
      </c>
      <c r="BO100">
        <f t="shared" si="25"/>
        <v>8</v>
      </c>
      <c r="BP100">
        <f t="shared" si="26"/>
        <v>0</v>
      </c>
      <c r="BQ100">
        <f t="shared" si="27"/>
        <v>8</v>
      </c>
      <c r="BR100">
        <f t="shared" si="28"/>
        <v>13</v>
      </c>
    </row>
    <row r="101" spans="1:70" ht="45" x14ac:dyDescent="0.25">
      <c r="A101" s="2" t="s">
        <v>33</v>
      </c>
      <c r="B101">
        <v>100</v>
      </c>
      <c r="C101">
        <v>575</v>
      </c>
      <c r="D101" s="2" t="s">
        <v>62</v>
      </c>
      <c r="E101" s="1">
        <v>44479.189964884259</v>
      </c>
      <c r="F101" s="2" t="s">
        <v>63</v>
      </c>
      <c r="G101" s="2" t="s">
        <v>63</v>
      </c>
      <c r="H101" s="2" t="s">
        <v>63</v>
      </c>
      <c r="I101" s="2" t="s">
        <v>63</v>
      </c>
      <c r="J101" s="2" t="s">
        <v>64</v>
      </c>
      <c r="K101" s="2" t="s">
        <v>65</v>
      </c>
      <c r="L101" s="2" t="s">
        <v>74</v>
      </c>
      <c r="M101" s="2" t="s">
        <v>74</v>
      </c>
      <c r="N101" s="2" t="s">
        <v>74</v>
      </c>
      <c r="O101" s="2" t="s">
        <v>81</v>
      </c>
      <c r="P101" s="2" t="s">
        <v>74</v>
      </c>
      <c r="Q101" s="2" t="s">
        <v>74</v>
      </c>
      <c r="R101" s="2" t="s">
        <v>72</v>
      </c>
      <c r="S101">
        <v>4</v>
      </c>
      <c r="T101">
        <v>2</v>
      </c>
      <c r="U101">
        <v>2</v>
      </c>
      <c r="V101">
        <v>2</v>
      </c>
      <c r="W101">
        <v>6</v>
      </c>
      <c r="X101">
        <v>4</v>
      </c>
      <c r="Y101" s="2" t="s">
        <v>72</v>
      </c>
      <c r="Z101">
        <v>4</v>
      </c>
      <c r="AA101">
        <v>2</v>
      </c>
      <c r="AB101">
        <v>2</v>
      </c>
      <c r="AC101">
        <v>2</v>
      </c>
      <c r="AD101">
        <v>4</v>
      </c>
      <c r="AE101">
        <v>6</v>
      </c>
      <c r="AF101" s="10" t="s">
        <v>175</v>
      </c>
      <c r="AG101" s="4"/>
      <c r="AH101" s="8">
        <v>99</v>
      </c>
      <c r="AI101">
        <v>1</v>
      </c>
      <c r="AJ101">
        <v>4</v>
      </c>
      <c r="AK101" s="8" t="s">
        <v>317</v>
      </c>
      <c r="AL101" t="s">
        <v>320</v>
      </c>
      <c r="AM101" t="str">
        <f t="shared" si="29"/>
        <v>Lie</v>
      </c>
      <c r="AN101" s="4"/>
      <c r="AO101">
        <f t="shared" si="16"/>
        <v>3</v>
      </c>
      <c r="AP101">
        <f t="shared" si="17"/>
        <v>3</v>
      </c>
      <c r="AQ101">
        <f t="shared" si="18"/>
        <v>3</v>
      </c>
      <c r="AR101">
        <f t="shared" si="19"/>
        <v>5</v>
      </c>
      <c r="AS101">
        <f t="shared" si="30"/>
        <v>3</v>
      </c>
      <c r="AT101">
        <f t="shared" si="20"/>
        <v>3</v>
      </c>
      <c r="AU101">
        <f t="shared" si="21"/>
        <v>3</v>
      </c>
      <c r="AV101" s="19">
        <f t="shared" si="31"/>
        <v>3</v>
      </c>
      <c r="AW101" s="4"/>
      <c r="AY101">
        <v>2</v>
      </c>
      <c r="AZ101">
        <v>2</v>
      </c>
      <c r="BA101">
        <v>3</v>
      </c>
      <c r="BB101">
        <v>6</v>
      </c>
      <c r="BC101">
        <v>3</v>
      </c>
      <c r="BD101">
        <v>4</v>
      </c>
      <c r="BE101">
        <f t="shared" si="22"/>
        <v>10</v>
      </c>
      <c r="BF101">
        <f t="shared" si="23"/>
        <v>0</v>
      </c>
      <c r="BG101">
        <f t="shared" si="24"/>
        <v>10</v>
      </c>
      <c r="BI101">
        <v>1</v>
      </c>
      <c r="BJ101">
        <v>4</v>
      </c>
      <c r="BK101">
        <v>4</v>
      </c>
      <c r="BL101">
        <v>6</v>
      </c>
      <c r="BM101">
        <v>3</v>
      </c>
      <c r="BN101">
        <v>2</v>
      </c>
      <c r="BO101">
        <f t="shared" si="25"/>
        <v>16</v>
      </c>
      <c r="BP101">
        <f t="shared" si="26"/>
        <v>1</v>
      </c>
      <c r="BQ101">
        <f t="shared" si="27"/>
        <v>17</v>
      </c>
      <c r="BR101">
        <f t="shared" si="28"/>
        <v>27</v>
      </c>
    </row>
    <row r="102" spans="1:70" ht="45" x14ac:dyDescent="0.25">
      <c r="A102" s="2" t="s">
        <v>33</v>
      </c>
      <c r="B102">
        <v>100</v>
      </c>
      <c r="C102">
        <v>305</v>
      </c>
      <c r="D102" s="2" t="s">
        <v>62</v>
      </c>
      <c r="E102" s="1">
        <v>44479.217127974538</v>
      </c>
      <c r="F102" s="2" t="s">
        <v>63</v>
      </c>
      <c r="G102" s="2" t="s">
        <v>63</v>
      </c>
      <c r="H102" s="2" t="s">
        <v>63</v>
      </c>
      <c r="I102" s="2" t="s">
        <v>63</v>
      </c>
      <c r="J102" s="2" t="s">
        <v>64</v>
      </c>
      <c r="K102" s="2" t="s">
        <v>65</v>
      </c>
      <c r="L102" s="2" t="s">
        <v>74</v>
      </c>
      <c r="M102" s="2" t="s">
        <v>71</v>
      </c>
      <c r="N102" s="2" t="s">
        <v>66</v>
      </c>
      <c r="O102" s="2" t="s">
        <v>81</v>
      </c>
      <c r="P102" s="2" t="s">
        <v>74</v>
      </c>
      <c r="Q102" s="2" t="s">
        <v>74</v>
      </c>
      <c r="R102" s="2" t="s">
        <v>69</v>
      </c>
      <c r="S102">
        <v>3</v>
      </c>
      <c r="T102">
        <v>4</v>
      </c>
      <c r="U102">
        <v>0</v>
      </c>
      <c r="V102">
        <v>5</v>
      </c>
      <c r="W102">
        <v>3</v>
      </c>
      <c r="X102">
        <v>5</v>
      </c>
      <c r="Y102" s="2" t="s">
        <v>68</v>
      </c>
      <c r="Z102">
        <v>3</v>
      </c>
      <c r="AA102">
        <v>5</v>
      </c>
      <c r="AB102">
        <v>2</v>
      </c>
      <c r="AC102">
        <v>5</v>
      </c>
      <c r="AD102">
        <v>0</v>
      </c>
      <c r="AE102">
        <v>5</v>
      </c>
      <c r="AF102" s="10" t="s">
        <v>176</v>
      </c>
      <c r="AG102" s="4"/>
      <c r="AH102" s="8">
        <v>100</v>
      </c>
      <c r="AI102">
        <v>0</v>
      </c>
      <c r="AJ102">
        <v>0</v>
      </c>
      <c r="AK102" s="8" t="s">
        <v>315</v>
      </c>
      <c r="AL102" t="s">
        <v>316</v>
      </c>
      <c r="AM102" t="str">
        <f t="shared" si="29"/>
        <v>Honest</v>
      </c>
      <c r="AN102" s="4"/>
      <c r="AO102">
        <f t="shared" si="16"/>
        <v>3</v>
      </c>
      <c r="AP102">
        <f t="shared" si="17"/>
        <v>2</v>
      </c>
      <c r="AQ102">
        <f t="shared" si="18"/>
        <v>1</v>
      </c>
      <c r="AR102">
        <f t="shared" si="19"/>
        <v>5</v>
      </c>
      <c r="AS102">
        <f t="shared" si="30"/>
        <v>3</v>
      </c>
      <c r="AT102">
        <f t="shared" si="20"/>
        <v>3</v>
      </c>
      <c r="AU102">
        <f t="shared" si="21"/>
        <v>3</v>
      </c>
      <c r="AV102" s="19">
        <f t="shared" si="31"/>
        <v>2.5</v>
      </c>
      <c r="AW102" s="4"/>
      <c r="AY102">
        <v>2</v>
      </c>
      <c r="AZ102">
        <v>6</v>
      </c>
      <c r="BA102">
        <v>2</v>
      </c>
      <c r="BB102">
        <v>3</v>
      </c>
      <c r="BC102">
        <v>4</v>
      </c>
      <c r="BD102">
        <v>3</v>
      </c>
      <c r="BE102">
        <f t="shared" si="22"/>
        <v>10</v>
      </c>
      <c r="BF102">
        <f t="shared" si="23"/>
        <v>1</v>
      </c>
      <c r="BG102">
        <f t="shared" si="24"/>
        <v>11</v>
      </c>
      <c r="BI102">
        <v>2</v>
      </c>
      <c r="BJ102">
        <v>6</v>
      </c>
      <c r="BK102">
        <v>2</v>
      </c>
      <c r="BL102">
        <v>3</v>
      </c>
      <c r="BM102">
        <v>4</v>
      </c>
      <c r="BN102">
        <v>3</v>
      </c>
      <c r="BO102">
        <f t="shared" si="25"/>
        <v>10</v>
      </c>
      <c r="BP102">
        <f t="shared" si="26"/>
        <v>1</v>
      </c>
      <c r="BQ102">
        <f t="shared" si="27"/>
        <v>11</v>
      </c>
      <c r="BR102">
        <f t="shared" si="28"/>
        <v>22</v>
      </c>
    </row>
    <row r="103" spans="1:70" ht="30" x14ac:dyDescent="0.25">
      <c r="A103" s="2" t="s">
        <v>33</v>
      </c>
      <c r="B103">
        <v>100</v>
      </c>
      <c r="C103">
        <v>394</v>
      </c>
      <c r="D103" s="2" t="s">
        <v>62</v>
      </c>
      <c r="E103" s="1">
        <v>44479.217789571761</v>
      </c>
      <c r="F103" s="2" t="s">
        <v>63</v>
      </c>
      <c r="G103" s="2" t="s">
        <v>63</v>
      </c>
      <c r="H103" s="2" t="s">
        <v>63</v>
      </c>
      <c r="I103" s="2" t="s">
        <v>63</v>
      </c>
      <c r="J103" s="2" t="s">
        <v>64</v>
      </c>
      <c r="K103" s="2" t="s">
        <v>65</v>
      </c>
      <c r="L103" s="2" t="s">
        <v>66</v>
      </c>
      <c r="M103" s="2" t="s">
        <v>74</v>
      </c>
      <c r="N103" s="2" t="s">
        <v>71</v>
      </c>
      <c r="O103" s="2" t="s">
        <v>67</v>
      </c>
      <c r="P103" s="2" t="s">
        <v>74</v>
      </c>
      <c r="Q103" s="2" t="s">
        <v>71</v>
      </c>
      <c r="R103" s="2" t="s">
        <v>72</v>
      </c>
      <c r="S103">
        <v>3</v>
      </c>
      <c r="T103">
        <v>3</v>
      </c>
      <c r="U103">
        <v>3</v>
      </c>
      <c r="V103">
        <v>3</v>
      </c>
      <c r="W103">
        <v>4</v>
      </c>
      <c r="X103">
        <v>4</v>
      </c>
      <c r="Y103" s="2" t="s">
        <v>72</v>
      </c>
      <c r="Z103">
        <v>3</v>
      </c>
      <c r="AA103">
        <v>3</v>
      </c>
      <c r="AB103">
        <v>4</v>
      </c>
      <c r="AC103">
        <v>5</v>
      </c>
      <c r="AD103">
        <v>3</v>
      </c>
      <c r="AE103">
        <v>2</v>
      </c>
      <c r="AF103" s="10" t="s">
        <v>177</v>
      </c>
      <c r="AG103" s="4"/>
      <c r="AH103" s="8">
        <v>101</v>
      </c>
      <c r="AI103">
        <v>1</v>
      </c>
      <c r="AJ103">
        <v>4</v>
      </c>
      <c r="AK103" s="8" t="s">
        <v>317</v>
      </c>
      <c r="AL103" t="s">
        <v>320</v>
      </c>
      <c r="AM103" t="str">
        <f t="shared" si="29"/>
        <v>Lie</v>
      </c>
      <c r="AN103" s="4"/>
      <c r="AO103">
        <f t="shared" si="16"/>
        <v>1</v>
      </c>
      <c r="AP103">
        <f t="shared" si="17"/>
        <v>3</v>
      </c>
      <c r="AQ103">
        <f t="shared" si="18"/>
        <v>2</v>
      </c>
      <c r="AR103">
        <f t="shared" si="19"/>
        <v>6</v>
      </c>
      <c r="AS103">
        <f t="shared" si="30"/>
        <v>2</v>
      </c>
      <c r="AT103">
        <f t="shared" si="20"/>
        <v>3</v>
      </c>
      <c r="AU103">
        <f t="shared" si="21"/>
        <v>2</v>
      </c>
      <c r="AV103" s="19">
        <f t="shared" si="31"/>
        <v>2.1666666666666665</v>
      </c>
      <c r="AW103" s="4"/>
      <c r="AY103">
        <v>3</v>
      </c>
      <c r="AZ103">
        <v>5</v>
      </c>
      <c r="BA103">
        <v>0</v>
      </c>
      <c r="BB103">
        <v>5</v>
      </c>
      <c r="BC103">
        <v>5</v>
      </c>
      <c r="BD103">
        <v>2</v>
      </c>
      <c r="BE103">
        <f t="shared" si="22"/>
        <v>10</v>
      </c>
      <c r="BF103">
        <f t="shared" si="23"/>
        <v>0</v>
      </c>
      <c r="BG103">
        <f t="shared" si="24"/>
        <v>10</v>
      </c>
      <c r="BI103">
        <v>2</v>
      </c>
      <c r="BJ103">
        <v>4</v>
      </c>
      <c r="BK103">
        <v>0</v>
      </c>
      <c r="BL103">
        <v>5</v>
      </c>
      <c r="BM103">
        <v>7</v>
      </c>
      <c r="BN103">
        <v>2</v>
      </c>
      <c r="BO103">
        <f t="shared" si="25"/>
        <v>10</v>
      </c>
      <c r="BP103">
        <f t="shared" si="26"/>
        <v>1</v>
      </c>
      <c r="BQ103">
        <f t="shared" si="27"/>
        <v>11</v>
      </c>
      <c r="BR103">
        <f t="shared" si="28"/>
        <v>21</v>
      </c>
    </row>
    <row r="104" spans="1:70" ht="30" x14ac:dyDescent="0.25">
      <c r="A104" s="2" t="s">
        <v>33</v>
      </c>
      <c r="B104">
        <v>100</v>
      </c>
      <c r="C104">
        <v>355</v>
      </c>
      <c r="D104" s="2" t="s">
        <v>62</v>
      </c>
      <c r="E104" s="1">
        <v>44479.28132091435</v>
      </c>
      <c r="F104" s="2" t="s">
        <v>63</v>
      </c>
      <c r="G104" s="2" t="s">
        <v>63</v>
      </c>
      <c r="H104" s="2" t="s">
        <v>63</v>
      </c>
      <c r="I104" s="2" t="s">
        <v>63</v>
      </c>
      <c r="J104" s="2" t="s">
        <v>64</v>
      </c>
      <c r="K104" s="2" t="s">
        <v>65</v>
      </c>
      <c r="L104" s="2" t="s">
        <v>71</v>
      </c>
      <c r="M104" s="2" t="s">
        <v>67</v>
      </c>
      <c r="N104" s="2" t="s">
        <v>71</v>
      </c>
      <c r="O104" s="2" t="s">
        <v>71</v>
      </c>
      <c r="P104" s="2" t="s">
        <v>74</v>
      </c>
      <c r="Q104" s="2" t="s">
        <v>67</v>
      </c>
      <c r="R104" s="2" t="s">
        <v>72</v>
      </c>
      <c r="S104">
        <v>3</v>
      </c>
      <c r="T104">
        <v>4</v>
      </c>
      <c r="U104">
        <v>5</v>
      </c>
      <c r="V104">
        <v>5</v>
      </c>
      <c r="W104">
        <v>2</v>
      </c>
      <c r="X104">
        <v>1</v>
      </c>
      <c r="Y104" s="2" t="s">
        <v>72</v>
      </c>
      <c r="Z104">
        <v>3</v>
      </c>
      <c r="AA104">
        <v>4</v>
      </c>
      <c r="AB104">
        <v>5</v>
      </c>
      <c r="AC104">
        <v>5</v>
      </c>
      <c r="AD104">
        <v>2</v>
      </c>
      <c r="AE104">
        <v>1</v>
      </c>
      <c r="AF104" s="10" t="s">
        <v>178</v>
      </c>
      <c r="AG104" s="4"/>
      <c r="AH104" s="8">
        <v>102</v>
      </c>
      <c r="AI104">
        <v>0</v>
      </c>
      <c r="AJ104">
        <v>0</v>
      </c>
      <c r="AK104" s="8" t="s">
        <v>317</v>
      </c>
      <c r="AL104" t="s">
        <v>318</v>
      </c>
      <c r="AM104" t="str">
        <f t="shared" si="29"/>
        <v>Honest</v>
      </c>
      <c r="AN104" s="4"/>
      <c r="AO104">
        <f t="shared" si="16"/>
        <v>2</v>
      </c>
      <c r="AP104">
        <f t="shared" si="17"/>
        <v>6</v>
      </c>
      <c r="AQ104">
        <f t="shared" si="18"/>
        <v>2</v>
      </c>
      <c r="AR104">
        <f t="shared" si="19"/>
        <v>2</v>
      </c>
      <c r="AS104">
        <f t="shared" si="30"/>
        <v>6</v>
      </c>
      <c r="AT104">
        <f t="shared" si="20"/>
        <v>3</v>
      </c>
      <c r="AU104">
        <f t="shared" si="21"/>
        <v>6</v>
      </c>
      <c r="AV104" s="19">
        <f t="shared" si="31"/>
        <v>4.166666666666667</v>
      </c>
      <c r="AW104" s="4"/>
      <c r="AY104">
        <v>4</v>
      </c>
      <c r="AZ104">
        <v>8</v>
      </c>
      <c r="BA104">
        <v>0</v>
      </c>
      <c r="BB104">
        <v>2</v>
      </c>
      <c r="BC104">
        <v>3</v>
      </c>
      <c r="BD104">
        <v>3</v>
      </c>
      <c r="BE104">
        <f t="shared" si="22"/>
        <v>16</v>
      </c>
      <c r="BF104">
        <f t="shared" si="23"/>
        <v>0</v>
      </c>
      <c r="BG104">
        <f t="shared" si="24"/>
        <v>16</v>
      </c>
      <c r="BI104">
        <v>4</v>
      </c>
      <c r="BJ104">
        <v>8</v>
      </c>
      <c r="BK104">
        <v>0</v>
      </c>
      <c r="BL104">
        <v>2</v>
      </c>
      <c r="BM104">
        <v>3</v>
      </c>
      <c r="BN104">
        <v>3</v>
      </c>
      <c r="BO104">
        <f t="shared" si="25"/>
        <v>16</v>
      </c>
      <c r="BP104">
        <f t="shared" si="26"/>
        <v>1</v>
      </c>
      <c r="BQ104">
        <f t="shared" si="27"/>
        <v>17</v>
      </c>
      <c r="BR104">
        <f t="shared" si="28"/>
        <v>33</v>
      </c>
    </row>
    <row r="105" spans="1:70" ht="30" x14ac:dyDescent="0.25">
      <c r="A105" s="2" t="s">
        <v>33</v>
      </c>
      <c r="B105">
        <v>100</v>
      </c>
      <c r="C105">
        <v>404</v>
      </c>
      <c r="D105" s="2" t="s">
        <v>62</v>
      </c>
      <c r="E105" s="1">
        <v>44479.292568287034</v>
      </c>
      <c r="F105" s="2" t="s">
        <v>63</v>
      </c>
      <c r="G105" s="2" t="s">
        <v>63</v>
      </c>
      <c r="H105" s="2" t="s">
        <v>63</v>
      </c>
      <c r="I105" s="2" t="s">
        <v>63</v>
      </c>
      <c r="J105" s="2" t="s">
        <v>64</v>
      </c>
      <c r="K105" s="2" t="s">
        <v>65</v>
      </c>
      <c r="L105" s="2" t="s">
        <v>66</v>
      </c>
      <c r="M105" s="2" t="s">
        <v>71</v>
      </c>
      <c r="N105" s="2" t="s">
        <v>66</v>
      </c>
      <c r="O105" s="2" t="s">
        <v>67</v>
      </c>
      <c r="P105" s="2" t="s">
        <v>71</v>
      </c>
      <c r="Q105" s="2" t="s">
        <v>71</v>
      </c>
      <c r="R105" s="2" t="s">
        <v>72</v>
      </c>
      <c r="S105">
        <v>2</v>
      </c>
      <c r="T105">
        <v>4</v>
      </c>
      <c r="U105">
        <v>2</v>
      </c>
      <c r="V105">
        <v>4</v>
      </c>
      <c r="W105">
        <v>4</v>
      </c>
      <c r="X105">
        <v>4</v>
      </c>
      <c r="Y105" s="2" t="s">
        <v>69</v>
      </c>
      <c r="Z105">
        <v>1</v>
      </c>
      <c r="AA105">
        <v>3</v>
      </c>
      <c r="AB105">
        <v>3</v>
      </c>
      <c r="AC105">
        <v>5</v>
      </c>
      <c r="AD105">
        <v>4</v>
      </c>
      <c r="AE105">
        <v>4</v>
      </c>
      <c r="AF105" s="10" t="s">
        <v>179</v>
      </c>
      <c r="AG105" s="4"/>
      <c r="AH105" s="8">
        <v>103</v>
      </c>
      <c r="AI105">
        <v>0</v>
      </c>
      <c r="AJ105">
        <v>7</v>
      </c>
      <c r="AK105" s="8" t="s">
        <v>317</v>
      </c>
      <c r="AL105" t="s">
        <v>320</v>
      </c>
      <c r="AM105" t="str">
        <f t="shared" si="29"/>
        <v>Lie</v>
      </c>
      <c r="AN105" s="4"/>
      <c r="AO105">
        <f t="shared" si="16"/>
        <v>1</v>
      </c>
      <c r="AP105">
        <f t="shared" si="17"/>
        <v>2</v>
      </c>
      <c r="AQ105">
        <f t="shared" si="18"/>
        <v>1</v>
      </c>
      <c r="AR105">
        <f t="shared" si="19"/>
        <v>6</v>
      </c>
      <c r="AS105">
        <f t="shared" si="30"/>
        <v>2</v>
      </c>
      <c r="AT105">
        <f t="shared" si="20"/>
        <v>2</v>
      </c>
      <c r="AU105">
        <f t="shared" si="21"/>
        <v>2</v>
      </c>
      <c r="AV105" s="19">
        <f t="shared" si="31"/>
        <v>1.6666666666666667</v>
      </c>
      <c r="AW105" s="4"/>
      <c r="AY105">
        <v>1</v>
      </c>
      <c r="AZ105">
        <v>4</v>
      </c>
      <c r="BA105">
        <v>5</v>
      </c>
      <c r="BB105">
        <v>2</v>
      </c>
      <c r="BC105">
        <v>0</v>
      </c>
      <c r="BD105">
        <v>8</v>
      </c>
      <c r="BE105">
        <f t="shared" si="22"/>
        <v>14</v>
      </c>
      <c r="BF105">
        <f t="shared" si="23"/>
        <v>0</v>
      </c>
      <c r="BG105">
        <f t="shared" si="24"/>
        <v>14</v>
      </c>
      <c r="BI105">
        <v>3</v>
      </c>
      <c r="BJ105">
        <v>6</v>
      </c>
      <c r="BK105">
        <v>2</v>
      </c>
      <c r="BL105">
        <v>1</v>
      </c>
      <c r="BM105">
        <v>2</v>
      </c>
      <c r="BN105">
        <v>6</v>
      </c>
      <c r="BO105">
        <f t="shared" si="25"/>
        <v>14</v>
      </c>
      <c r="BP105">
        <f t="shared" si="26"/>
        <v>0</v>
      </c>
      <c r="BQ105">
        <f t="shared" si="27"/>
        <v>14</v>
      </c>
      <c r="BR105">
        <f t="shared" si="28"/>
        <v>28</v>
      </c>
    </row>
    <row r="106" spans="1:70" ht="60" x14ac:dyDescent="0.25">
      <c r="A106" s="2" t="s">
        <v>33</v>
      </c>
      <c r="B106">
        <v>100</v>
      </c>
      <c r="C106">
        <v>241</v>
      </c>
      <c r="D106" s="2" t="s">
        <v>62</v>
      </c>
      <c r="E106" s="1">
        <v>44479.354582557869</v>
      </c>
      <c r="F106" s="2" t="s">
        <v>63</v>
      </c>
      <c r="G106" s="2" t="s">
        <v>63</v>
      </c>
      <c r="H106" s="2" t="s">
        <v>63</v>
      </c>
      <c r="I106" s="2" t="s">
        <v>63</v>
      </c>
      <c r="J106" s="2" t="s">
        <v>64</v>
      </c>
      <c r="K106" s="2" t="s">
        <v>65</v>
      </c>
      <c r="L106" s="2" t="s">
        <v>74</v>
      </c>
      <c r="M106" s="2" t="s">
        <v>75</v>
      </c>
      <c r="N106" s="2" t="s">
        <v>71</v>
      </c>
      <c r="O106" s="2" t="s">
        <v>71</v>
      </c>
      <c r="P106" s="2" t="s">
        <v>75</v>
      </c>
      <c r="Q106" s="2" t="s">
        <v>74</v>
      </c>
      <c r="R106" s="2" t="s">
        <v>69</v>
      </c>
      <c r="S106">
        <v>2</v>
      </c>
      <c r="T106">
        <v>2</v>
      </c>
      <c r="U106">
        <v>4</v>
      </c>
      <c r="V106">
        <v>5</v>
      </c>
      <c r="W106">
        <v>4</v>
      </c>
      <c r="X106">
        <v>3</v>
      </c>
      <c r="Y106" s="2" t="s">
        <v>69</v>
      </c>
      <c r="Z106">
        <v>2</v>
      </c>
      <c r="AA106">
        <v>2</v>
      </c>
      <c r="AB106">
        <v>4</v>
      </c>
      <c r="AC106">
        <v>5</v>
      </c>
      <c r="AD106">
        <v>4</v>
      </c>
      <c r="AE106">
        <v>3</v>
      </c>
      <c r="AF106" s="10" t="s">
        <v>180</v>
      </c>
      <c r="AG106" s="4"/>
      <c r="AH106" s="8">
        <v>104</v>
      </c>
      <c r="AI106">
        <v>0</v>
      </c>
      <c r="AJ106">
        <v>0</v>
      </c>
      <c r="AK106" s="8" t="s">
        <v>315</v>
      </c>
      <c r="AL106" t="s">
        <v>316</v>
      </c>
      <c r="AM106" t="str">
        <f t="shared" si="29"/>
        <v>Honest</v>
      </c>
      <c r="AN106" s="4"/>
      <c r="AO106">
        <f t="shared" si="16"/>
        <v>3</v>
      </c>
      <c r="AP106">
        <f t="shared" si="17"/>
        <v>4</v>
      </c>
      <c r="AQ106">
        <f t="shared" si="18"/>
        <v>2</v>
      </c>
      <c r="AR106">
        <f t="shared" si="19"/>
        <v>2</v>
      </c>
      <c r="AS106">
        <f t="shared" si="30"/>
        <v>6</v>
      </c>
      <c r="AT106">
        <f t="shared" si="20"/>
        <v>4</v>
      </c>
      <c r="AU106">
        <f t="shared" si="21"/>
        <v>3</v>
      </c>
      <c r="AV106" s="19">
        <f t="shared" si="31"/>
        <v>3.6666666666666665</v>
      </c>
      <c r="AW106" s="4"/>
      <c r="AY106">
        <v>3</v>
      </c>
      <c r="AZ106">
        <v>2</v>
      </c>
      <c r="BA106">
        <v>3</v>
      </c>
      <c r="BB106">
        <v>2</v>
      </c>
      <c r="BC106">
        <v>6</v>
      </c>
      <c r="BD106">
        <v>4</v>
      </c>
      <c r="BE106">
        <f t="shared" si="22"/>
        <v>8</v>
      </c>
      <c r="BF106">
        <f t="shared" si="23"/>
        <v>1</v>
      </c>
      <c r="BG106">
        <f t="shared" si="24"/>
        <v>9</v>
      </c>
      <c r="BI106">
        <v>3</v>
      </c>
      <c r="BJ106">
        <v>2</v>
      </c>
      <c r="BK106">
        <v>3</v>
      </c>
      <c r="BL106">
        <v>2</v>
      </c>
      <c r="BM106">
        <v>6</v>
      </c>
      <c r="BN106">
        <v>4</v>
      </c>
      <c r="BO106">
        <f t="shared" si="25"/>
        <v>8</v>
      </c>
      <c r="BP106">
        <f t="shared" si="26"/>
        <v>0</v>
      </c>
      <c r="BQ106">
        <f t="shared" si="27"/>
        <v>8</v>
      </c>
      <c r="BR106">
        <f t="shared" si="28"/>
        <v>17</v>
      </c>
    </row>
    <row r="107" spans="1:70" ht="30" x14ac:dyDescent="0.25">
      <c r="A107" s="2" t="s">
        <v>33</v>
      </c>
      <c r="B107">
        <v>100</v>
      </c>
      <c r="C107">
        <v>339</v>
      </c>
      <c r="D107" s="2" t="s">
        <v>62</v>
      </c>
      <c r="E107" s="1">
        <v>44479.355933101855</v>
      </c>
      <c r="F107" s="2" t="s">
        <v>63</v>
      </c>
      <c r="G107" s="2" t="s">
        <v>63</v>
      </c>
      <c r="H107" s="2" t="s">
        <v>63</v>
      </c>
      <c r="I107" s="2" t="s">
        <v>63</v>
      </c>
      <c r="J107" s="2" t="s">
        <v>64</v>
      </c>
      <c r="K107" s="2" t="s">
        <v>65</v>
      </c>
      <c r="L107" s="2" t="s">
        <v>66</v>
      </c>
      <c r="M107" s="2" t="s">
        <v>66</v>
      </c>
      <c r="N107" s="2" t="s">
        <v>66</v>
      </c>
      <c r="O107" s="2" t="s">
        <v>78</v>
      </c>
      <c r="P107" s="2" t="s">
        <v>67</v>
      </c>
      <c r="Q107" s="2" t="s">
        <v>67</v>
      </c>
      <c r="R107" s="2" t="s">
        <v>69</v>
      </c>
      <c r="S107">
        <v>3</v>
      </c>
      <c r="T107">
        <v>4</v>
      </c>
      <c r="U107">
        <v>3</v>
      </c>
      <c r="V107">
        <v>4</v>
      </c>
      <c r="W107">
        <v>3</v>
      </c>
      <c r="X107">
        <v>3</v>
      </c>
      <c r="Y107" s="2" t="s">
        <v>68</v>
      </c>
      <c r="Z107">
        <v>3</v>
      </c>
      <c r="AA107">
        <v>4</v>
      </c>
      <c r="AB107">
        <v>3</v>
      </c>
      <c r="AC107">
        <v>4</v>
      </c>
      <c r="AD107">
        <v>3</v>
      </c>
      <c r="AE107">
        <v>3</v>
      </c>
      <c r="AF107" s="10" t="s">
        <v>181</v>
      </c>
      <c r="AG107" s="4"/>
      <c r="AH107" s="8">
        <v>105</v>
      </c>
      <c r="AI107">
        <v>0</v>
      </c>
      <c r="AJ107">
        <v>0</v>
      </c>
      <c r="AK107" s="8" t="s">
        <v>315</v>
      </c>
      <c r="AL107" t="s">
        <v>316</v>
      </c>
      <c r="AM107" t="str">
        <f t="shared" si="29"/>
        <v>Honest</v>
      </c>
      <c r="AN107" s="4"/>
      <c r="AO107">
        <f t="shared" si="16"/>
        <v>1</v>
      </c>
      <c r="AP107">
        <f t="shared" si="17"/>
        <v>1</v>
      </c>
      <c r="AQ107">
        <f t="shared" si="18"/>
        <v>1</v>
      </c>
      <c r="AR107">
        <f t="shared" si="19"/>
        <v>7</v>
      </c>
      <c r="AS107">
        <f t="shared" si="30"/>
        <v>1</v>
      </c>
      <c r="AT107">
        <f t="shared" si="20"/>
        <v>6</v>
      </c>
      <c r="AU107">
        <f t="shared" si="21"/>
        <v>6</v>
      </c>
      <c r="AV107" s="19">
        <f t="shared" si="31"/>
        <v>2.6666666666666665</v>
      </c>
      <c r="AW107" s="4"/>
      <c r="AY107">
        <v>6</v>
      </c>
      <c r="AZ107">
        <v>5</v>
      </c>
      <c r="BA107">
        <v>1</v>
      </c>
      <c r="BB107">
        <v>3</v>
      </c>
      <c r="BC107">
        <v>1</v>
      </c>
      <c r="BD107">
        <v>4</v>
      </c>
      <c r="BE107">
        <f t="shared" si="22"/>
        <v>10</v>
      </c>
      <c r="BF107">
        <f t="shared" si="23"/>
        <v>1</v>
      </c>
      <c r="BG107">
        <f t="shared" si="24"/>
        <v>11</v>
      </c>
      <c r="BI107">
        <v>6</v>
      </c>
      <c r="BJ107">
        <v>5</v>
      </c>
      <c r="BK107">
        <v>1</v>
      </c>
      <c r="BL107">
        <v>3</v>
      </c>
      <c r="BM107">
        <v>1</v>
      </c>
      <c r="BN107">
        <v>4</v>
      </c>
      <c r="BO107">
        <f t="shared" si="25"/>
        <v>10</v>
      </c>
      <c r="BP107">
        <f t="shared" si="26"/>
        <v>1</v>
      </c>
      <c r="BQ107">
        <f t="shared" si="27"/>
        <v>11</v>
      </c>
      <c r="BR107">
        <f t="shared" si="28"/>
        <v>22</v>
      </c>
    </row>
    <row r="108" spans="1:70" ht="45" x14ac:dyDescent="0.25">
      <c r="A108" s="2" t="s">
        <v>33</v>
      </c>
      <c r="B108">
        <v>100</v>
      </c>
      <c r="C108">
        <v>243</v>
      </c>
      <c r="D108" s="2" t="s">
        <v>62</v>
      </c>
      <c r="E108" s="1">
        <v>44479.380962291667</v>
      </c>
      <c r="F108" s="2" t="s">
        <v>63</v>
      </c>
      <c r="G108" s="2" t="s">
        <v>63</v>
      </c>
      <c r="H108" s="2" t="s">
        <v>63</v>
      </c>
      <c r="I108" s="2" t="s">
        <v>63</v>
      </c>
      <c r="J108" s="2" t="s">
        <v>64</v>
      </c>
      <c r="K108" s="2" t="s">
        <v>65</v>
      </c>
      <c r="L108" s="2" t="s">
        <v>71</v>
      </c>
      <c r="M108" s="2" t="s">
        <v>71</v>
      </c>
      <c r="N108" s="2" t="s">
        <v>66</v>
      </c>
      <c r="O108" s="2" t="s">
        <v>81</v>
      </c>
      <c r="P108" s="2" t="s">
        <v>71</v>
      </c>
      <c r="Q108" s="2" t="s">
        <v>74</v>
      </c>
      <c r="R108" s="2" t="s">
        <v>72</v>
      </c>
      <c r="S108">
        <v>6</v>
      </c>
      <c r="T108">
        <v>3</v>
      </c>
      <c r="U108">
        <v>5</v>
      </c>
      <c r="V108">
        <v>0</v>
      </c>
      <c r="W108">
        <v>2</v>
      </c>
      <c r="X108">
        <v>4</v>
      </c>
      <c r="Y108" s="2" t="s">
        <v>72</v>
      </c>
      <c r="Z108">
        <v>4</v>
      </c>
      <c r="AA108">
        <v>3</v>
      </c>
      <c r="AB108">
        <v>5</v>
      </c>
      <c r="AC108">
        <v>0</v>
      </c>
      <c r="AD108">
        <v>2</v>
      </c>
      <c r="AE108">
        <v>6</v>
      </c>
      <c r="AF108" s="10" t="s">
        <v>182</v>
      </c>
      <c r="AG108" s="4"/>
      <c r="AH108" s="8">
        <v>106</v>
      </c>
      <c r="AI108">
        <v>0</v>
      </c>
      <c r="AJ108">
        <v>0</v>
      </c>
      <c r="AK108" s="8" t="s">
        <v>315</v>
      </c>
      <c r="AL108" t="s">
        <v>316</v>
      </c>
      <c r="AM108" t="str">
        <f t="shared" si="29"/>
        <v>Honest</v>
      </c>
      <c r="AN108" s="4"/>
      <c r="AO108">
        <f t="shared" si="16"/>
        <v>2</v>
      </c>
      <c r="AP108">
        <f t="shared" si="17"/>
        <v>2</v>
      </c>
      <c r="AQ108">
        <f t="shared" si="18"/>
        <v>1</v>
      </c>
      <c r="AR108">
        <f t="shared" si="19"/>
        <v>5</v>
      </c>
      <c r="AS108">
        <f t="shared" si="30"/>
        <v>3</v>
      </c>
      <c r="AT108">
        <f t="shared" si="20"/>
        <v>2</v>
      </c>
      <c r="AU108">
        <f t="shared" si="21"/>
        <v>3</v>
      </c>
      <c r="AV108" s="19">
        <f t="shared" si="31"/>
        <v>2.1666666666666665</v>
      </c>
      <c r="AW108" s="4"/>
      <c r="AY108">
        <v>3</v>
      </c>
      <c r="AZ108">
        <v>2</v>
      </c>
      <c r="BA108">
        <v>4</v>
      </c>
      <c r="BB108">
        <v>5</v>
      </c>
      <c r="BC108">
        <v>4</v>
      </c>
      <c r="BD108">
        <v>2</v>
      </c>
      <c r="BE108">
        <f t="shared" si="22"/>
        <v>14</v>
      </c>
      <c r="BF108">
        <f t="shared" si="23"/>
        <v>0</v>
      </c>
      <c r="BG108">
        <f t="shared" si="24"/>
        <v>14</v>
      </c>
      <c r="BI108">
        <v>3</v>
      </c>
      <c r="BJ108">
        <v>2</v>
      </c>
      <c r="BK108">
        <v>4</v>
      </c>
      <c r="BL108">
        <v>5</v>
      </c>
      <c r="BM108">
        <v>4</v>
      </c>
      <c r="BN108">
        <v>2</v>
      </c>
      <c r="BO108">
        <f t="shared" si="25"/>
        <v>14</v>
      </c>
      <c r="BP108">
        <f t="shared" si="26"/>
        <v>1</v>
      </c>
      <c r="BQ108">
        <f t="shared" si="27"/>
        <v>15</v>
      </c>
      <c r="BR108">
        <f t="shared" si="28"/>
        <v>29</v>
      </c>
    </row>
    <row r="109" spans="1:70" ht="30" x14ac:dyDescent="0.25">
      <c r="A109" s="2" t="s">
        <v>33</v>
      </c>
      <c r="B109">
        <v>100</v>
      </c>
      <c r="C109">
        <v>342</v>
      </c>
      <c r="D109" s="2" t="s">
        <v>62</v>
      </c>
      <c r="E109" s="1">
        <v>44479.416331678243</v>
      </c>
      <c r="F109" s="2" t="s">
        <v>63</v>
      </c>
      <c r="G109" s="2" t="s">
        <v>63</v>
      </c>
      <c r="H109" s="2" t="s">
        <v>63</v>
      </c>
      <c r="I109" s="2" t="s">
        <v>63</v>
      </c>
      <c r="J109" s="2" t="s">
        <v>64</v>
      </c>
      <c r="K109" s="2" t="s">
        <v>65</v>
      </c>
      <c r="L109" s="2" t="s">
        <v>66</v>
      </c>
      <c r="M109" s="2" t="s">
        <v>74</v>
      </c>
      <c r="N109" s="2" t="s">
        <v>71</v>
      </c>
      <c r="O109" s="2" t="s">
        <v>67</v>
      </c>
      <c r="P109" s="2" t="s">
        <v>74</v>
      </c>
      <c r="Q109" s="2" t="s">
        <v>71</v>
      </c>
      <c r="R109" s="2" t="s">
        <v>72</v>
      </c>
      <c r="S109">
        <v>5</v>
      </c>
      <c r="T109">
        <v>2</v>
      </c>
      <c r="U109">
        <v>4</v>
      </c>
      <c r="V109">
        <v>4</v>
      </c>
      <c r="W109">
        <v>3</v>
      </c>
      <c r="X109">
        <v>2</v>
      </c>
      <c r="Y109" s="2" t="s">
        <v>72</v>
      </c>
      <c r="Z109">
        <v>3</v>
      </c>
      <c r="AA109">
        <v>5</v>
      </c>
      <c r="AB109">
        <v>3</v>
      </c>
      <c r="AC109">
        <v>3</v>
      </c>
      <c r="AD109">
        <v>3</v>
      </c>
      <c r="AE109">
        <v>3</v>
      </c>
      <c r="AF109" s="10" t="s">
        <v>183</v>
      </c>
      <c r="AG109" s="4"/>
      <c r="AH109" s="8">
        <v>107</v>
      </c>
      <c r="AI109">
        <v>0</v>
      </c>
      <c r="AJ109">
        <v>0</v>
      </c>
      <c r="AK109" s="8" t="s">
        <v>317</v>
      </c>
      <c r="AL109" t="s">
        <v>318</v>
      </c>
      <c r="AM109" t="str">
        <f t="shared" si="29"/>
        <v>Honest</v>
      </c>
      <c r="AN109" s="4"/>
      <c r="AO109">
        <f t="shared" si="16"/>
        <v>1</v>
      </c>
      <c r="AP109">
        <f t="shared" si="17"/>
        <v>3</v>
      </c>
      <c r="AQ109">
        <f t="shared" si="18"/>
        <v>2</v>
      </c>
      <c r="AR109">
        <f t="shared" si="19"/>
        <v>6</v>
      </c>
      <c r="AS109">
        <f t="shared" si="30"/>
        <v>2</v>
      </c>
      <c r="AT109">
        <f t="shared" si="20"/>
        <v>3</v>
      </c>
      <c r="AU109">
        <f t="shared" si="21"/>
        <v>2</v>
      </c>
      <c r="AV109" s="19">
        <f t="shared" si="31"/>
        <v>2.1666666666666665</v>
      </c>
      <c r="AW109" s="4"/>
      <c r="AY109">
        <v>2</v>
      </c>
      <c r="AZ109">
        <v>1</v>
      </c>
      <c r="BA109">
        <v>5</v>
      </c>
      <c r="BB109">
        <v>5</v>
      </c>
      <c r="BC109">
        <v>4</v>
      </c>
      <c r="BD109">
        <v>3</v>
      </c>
      <c r="BE109">
        <f t="shared" si="22"/>
        <v>8</v>
      </c>
      <c r="BF109">
        <f t="shared" si="23"/>
        <v>0</v>
      </c>
      <c r="BG109">
        <f t="shared" si="24"/>
        <v>8</v>
      </c>
      <c r="BI109">
        <v>2</v>
      </c>
      <c r="BJ109">
        <v>1</v>
      </c>
      <c r="BK109">
        <v>5</v>
      </c>
      <c r="BL109">
        <v>5</v>
      </c>
      <c r="BM109">
        <v>4</v>
      </c>
      <c r="BN109">
        <v>3</v>
      </c>
      <c r="BO109">
        <f t="shared" si="25"/>
        <v>10</v>
      </c>
      <c r="BP109">
        <f t="shared" si="26"/>
        <v>1</v>
      </c>
      <c r="BQ109">
        <f t="shared" si="27"/>
        <v>11</v>
      </c>
      <c r="BR109">
        <f t="shared" si="28"/>
        <v>19</v>
      </c>
    </row>
    <row r="110" spans="1:70" ht="30" x14ac:dyDescent="0.25">
      <c r="A110" s="2" t="s">
        <v>33</v>
      </c>
      <c r="B110">
        <v>100</v>
      </c>
      <c r="C110">
        <v>148</v>
      </c>
      <c r="D110" s="2" t="s">
        <v>62</v>
      </c>
      <c r="E110" s="1">
        <v>44480.136810509262</v>
      </c>
      <c r="F110" s="2" t="s">
        <v>63</v>
      </c>
      <c r="G110" s="2" t="s">
        <v>63</v>
      </c>
      <c r="H110" s="2" t="s">
        <v>63</v>
      </c>
      <c r="I110" s="2" t="s">
        <v>63</v>
      </c>
      <c r="J110" s="2" t="s">
        <v>64</v>
      </c>
      <c r="K110" s="2" t="s">
        <v>65</v>
      </c>
      <c r="L110" s="2" t="s">
        <v>66</v>
      </c>
      <c r="M110" s="2" t="s">
        <v>74</v>
      </c>
      <c r="N110" s="2" t="s">
        <v>71</v>
      </c>
      <c r="O110" s="2" t="s">
        <v>67</v>
      </c>
      <c r="P110" s="2" t="s">
        <v>74</v>
      </c>
      <c r="Q110" s="2" t="s">
        <v>74</v>
      </c>
      <c r="R110" s="2" t="s">
        <v>69</v>
      </c>
      <c r="S110">
        <v>3</v>
      </c>
      <c r="T110">
        <v>4</v>
      </c>
      <c r="U110">
        <v>3</v>
      </c>
      <c r="V110">
        <v>3</v>
      </c>
      <c r="W110">
        <v>4</v>
      </c>
      <c r="X110">
        <v>3</v>
      </c>
      <c r="Y110" s="2" t="s">
        <v>69</v>
      </c>
      <c r="Z110">
        <v>3</v>
      </c>
      <c r="AA110">
        <v>4</v>
      </c>
      <c r="AB110">
        <v>3</v>
      </c>
      <c r="AC110">
        <v>3</v>
      </c>
      <c r="AD110">
        <v>3</v>
      </c>
      <c r="AE110">
        <v>4</v>
      </c>
      <c r="AF110" s="10" t="s">
        <v>184</v>
      </c>
      <c r="AG110" s="4"/>
      <c r="AH110" s="8">
        <v>108</v>
      </c>
      <c r="AI110">
        <v>1</v>
      </c>
      <c r="AJ110">
        <v>0</v>
      </c>
      <c r="AK110" s="8" t="s">
        <v>315</v>
      </c>
      <c r="AL110" t="s">
        <v>316</v>
      </c>
      <c r="AM110" t="str">
        <f t="shared" si="29"/>
        <v>Honest</v>
      </c>
      <c r="AN110" s="4"/>
      <c r="AO110">
        <f t="shared" si="16"/>
        <v>1</v>
      </c>
      <c r="AP110">
        <f t="shared" si="17"/>
        <v>3</v>
      </c>
      <c r="AQ110">
        <f t="shared" si="18"/>
        <v>2</v>
      </c>
      <c r="AR110">
        <f t="shared" si="19"/>
        <v>6</v>
      </c>
      <c r="AS110">
        <f t="shared" si="30"/>
        <v>2</v>
      </c>
      <c r="AT110">
        <f t="shared" si="20"/>
        <v>3</v>
      </c>
      <c r="AU110">
        <f t="shared" si="21"/>
        <v>3</v>
      </c>
      <c r="AV110" s="19">
        <f t="shared" si="31"/>
        <v>2.3333333333333335</v>
      </c>
      <c r="AW110" s="4"/>
      <c r="AY110">
        <v>3</v>
      </c>
      <c r="AZ110">
        <v>3</v>
      </c>
      <c r="BA110">
        <v>4</v>
      </c>
      <c r="BB110">
        <v>4</v>
      </c>
      <c r="BC110">
        <v>3</v>
      </c>
      <c r="BD110">
        <v>3</v>
      </c>
      <c r="BE110">
        <f t="shared" si="22"/>
        <v>4</v>
      </c>
      <c r="BF110">
        <f t="shared" si="23"/>
        <v>1</v>
      </c>
      <c r="BG110">
        <f t="shared" si="24"/>
        <v>5</v>
      </c>
      <c r="BI110">
        <v>3</v>
      </c>
      <c r="BJ110">
        <v>3</v>
      </c>
      <c r="BK110">
        <v>4</v>
      </c>
      <c r="BL110">
        <v>4</v>
      </c>
      <c r="BM110">
        <v>3</v>
      </c>
      <c r="BN110">
        <v>3</v>
      </c>
      <c r="BO110">
        <f t="shared" si="25"/>
        <v>4</v>
      </c>
      <c r="BP110">
        <f t="shared" si="26"/>
        <v>0</v>
      </c>
      <c r="BQ110">
        <f t="shared" si="27"/>
        <v>4</v>
      </c>
      <c r="BR110">
        <f t="shared" si="28"/>
        <v>9</v>
      </c>
    </row>
    <row r="111" spans="1:70" ht="60" x14ac:dyDescent="0.25">
      <c r="A111" s="2" t="s">
        <v>33</v>
      </c>
      <c r="B111">
        <v>100</v>
      </c>
      <c r="C111">
        <v>180</v>
      </c>
      <c r="D111" s="2" t="s">
        <v>62</v>
      </c>
      <c r="E111" s="1">
        <v>44480.5101946875</v>
      </c>
      <c r="F111" s="2" t="s">
        <v>63</v>
      </c>
      <c r="G111" s="2" t="s">
        <v>63</v>
      </c>
      <c r="H111" s="2" t="s">
        <v>63</v>
      </c>
      <c r="I111" s="2" t="s">
        <v>63</v>
      </c>
      <c r="J111" s="2" t="s">
        <v>64</v>
      </c>
      <c r="K111" s="2" t="s">
        <v>65</v>
      </c>
      <c r="L111" s="2" t="s">
        <v>66</v>
      </c>
      <c r="M111" s="2" t="s">
        <v>71</v>
      </c>
      <c r="N111" s="2" t="s">
        <v>71</v>
      </c>
      <c r="O111" s="2" t="s">
        <v>67</v>
      </c>
      <c r="P111" s="2" t="s">
        <v>75</v>
      </c>
      <c r="Q111" s="2" t="s">
        <v>71</v>
      </c>
      <c r="R111" s="2" t="s">
        <v>72</v>
      </c>
      <c r="S111">
        <v>5</v>
      </c>
      <c r="T111">
        <v>2</v>
      </c>
      <c r="U111">
        <v>1</v>
      </c>
      <c r="V111">
        <v>3</v>
      </c>
      <c r="W111">
        <v>4</v>
      </c>
      <c r="X111">
        <v>5</v>
      </c>
      <c r="Y111" s="2" t="s">
        <v>72</v>
      </c>
      <c r="Z111">
        <v>5</v>
      </c>
      <c r="AA111">
        <v>3</v>
      </c>
      <c r="AB111">
        <v>2</v>
      </c>
      <c r="AC111">
        <v>2</v>
      </c>
      <c r="AD111">
        <v>4</v>
      </c>
      <c r="AE111">
        <v>4</v>
      </c>
      <c r="AF111" s="10" t="s">
        <v>185</v>
      </c>
      <c r="AG111" s="4"/>
      <c r="AH111" s="8">
        <v>109</v>
      </c>
      <c r="AI111">
        <v>0</v>
      </c>
      <c r="AJ111">
        <v>3</v>
      </c>
      <c r="AK111" s="8" t="s">
        <v>317</v>
      </c>
      <c r="AL111" t="s">
        <v>320</v>
      </c>
      <c r="AM111" t="str">
        <f t="shared" si="29"/>
        <v>Lie</v>
      </c>
      <c r="AN111" s="4"/>
      <c r="AO111">
        <f t="shared" si="16"/>
        <v>1</v>
      </c>
      <c r="AP111">
        <f t="shared" si="17"/>
        <v>2</v>
      </c>
      <c r="AQ111">
        <f t="shared" si="18"/>
        <v>2</v>
      </c>
      <c r="AR111">
        <f t="shared" si="19"/>
        <v>6</v>
      </c>
      <c r="AS111">
        <f t="shared" si="30"/>
        <v>2</v>
      </c>
      <c r="AT111">
        <f t="shared" si="20"/>
        <v>4</v>
      </c>
      <c r="AU111">
        <f t="shared" si="21"/>
        <v>2</v>
      </c>
      <c r="AV111" s="19">
        <f t="shared" si="31"/>
        <v>2.1666666666666665</v>
      </c>
      <c r="AW111" s="4"/>
      <c r="AY111">
        <v>2</v>
      </c>
      <c r="AZ111">
        <v>5</v>
      </c>
      <c r="BA111">
        <v>3</v>
      </c>
      <c r="BB111">
        <v>3</v>
      </c>
      <c r="BC111">
        <v>4</v>
      </c>
      <c r="BD111">
        <v>2</v>
      </c>
      <c r="BE111">
        <f t="shared" si="22"/>
        <v>11</v>
      </c>
      <c r="BF111">
        <f t="shared" si="23"/>
        <v>0</v>
      </c>
      <c r="BG111">
        <f t="shared" si="24"/>
        <v>11</v>
      </c>
      <c r="BI111">
        <v>1</v>
      </c>
      <c r="BJ111">
        <v>6</v>
      </c>
      <c r="BK111">
        <v>4</v>
      </c>
      <c r="BL111">
        <v>2</v>
      </c>
      <c r="BM111">
        <v>5</v>
      </c>
      <c r="BN111">
        <v>2</v>
      </c>
      <c r="BO111">
        <f t="shared" si="25"/>
        <v>12</v>
      </c>
      <c r="BP111">
        <f t="shared" si="26"/>
        <v>1</v>
      </c>
      <c r="BQ111">
        <f t="shared" si="27"/>
        <v>13</v>
      </c>
      <c r="BR111">
        <f t="shared" si="28"/>
        <v>24</v>
      </c>
    </row>
    <row r="112" spans="1:70" ht="30" x14ac:dyDescent="0.25">
      <c r="A112" s="2" t="s">
        <v>33</v>
      </c>
      <c r="B112">
        <v>100</v>
      </c>
      <c r="C112">
        <v>296</v>
      </c>
      <c r="D112" s="2" t="s">
        <v>62</v>
      </c>
      <c r="E112" s="1">
        <v>44484.456793703706</v>
      </c>
      <c r="F112" s="2" t="s">
        <v>63</v>
      </c>
      <c r="G112" s="2" t="s">
        <v>63</v>
      </c>
      <c r="H112" s="2" t="s">
        <v>63</v>
      </c>
      <c r="I112" s="2" t="s">
        <v>63</v>
      </c>
      <c r="J112" s="2" t="s">
        <v>64</v>
      </c>
      <c r="K112" s="2" t="s">
        <v>65</v>
      </c>
      <c r="L112" s="2" t="s">
        <v>67</v>
      </c>
      <c r="M112" s="2" t="s">
        <v>71</v>
      </c>
      <c r="N112" s="2" t="s">
        <v>74</v>
      </c>
      <c r="O112" s="2" t="s">
        <v>71</v>
      </c>
      <c r="P112" s="2" t="s">
        <v>71</v>
      </c>
      <c r="Q112" s="2" t="s">
        <v>71</v>
      </c>
      <c r="R112" s="2" t="s">
        <v>69</v>
      </c>
      <c r="S112">
        <v>2</v>
      </c>
      <c r="T112">
        <v>2</v>
      </c>
      <c r="U112">
        <v>2</v>
      </c>
      <c r="V112">
        <v>4</v>
      </c>
      <c r="W112">
        <v>5</v>
      </c>
      <c r="X112">
        <v>5</v>
      </c>
      <c r="Y112" s="2" t="s">
        <v>69</v>
      </c>
      <c r="Z112">
        <v>5</v>
      </c>
      <c r="AA112">
        <v>5</v>
      </c>
      <c r="AB112">
        <v>5</v>
      </c>
      <c r="AC112">
        <v>5</v>
      </c>
      <c r="AD112">
        <v>0</v>
      </c>
      <c r="AE112">
        <v>0</v>
      </c>
      <c r="AF112" s="10" t="s">
        <v>186</v>
      </c>
      <c r="AG112" s="4"/>
      <c r="AH112" s="8">
        <v>110</v>
      </c>
      <c r="AI112">
        <v>0</v>
      </c>
      <c r="AJ112">
        <v>13</v>
      </c>
      <c r="AK112" s="8" t="s">
        <v>317</v>
      </c>
      <c r="AL112" t="s">
        <v>320</v>
      </c>
      <c r="AM112" t="str">
        <f t="shared" si="29"/>
        <v>Lie</v>
      </c>
      <c r="AN112" s="4"/>
      <c r="AO112">
        <f t="shared" si="16"/>
        <v>6</v>
      </c>
      <c r="AP112">
        <f t="shared" si="17"/>
        <v>2</v>
      </c>
      <c r="AQ112">
        <f t="shared" si="18"/>
        <v>3</v>
      </c>
      <c r="AR112">
        <f t="shared" si="19"/>
        <v>2</v>
      </c>
      <c r="AS112">
        <f t="shared" si="30"/>
        <v>6</v>
      </c>
      <c r="AT112">
        <f t="shared" si="20"/>
        <v>2</v>
      </c>
      <c r="AU112">
        <f t="shared" si="21"/>
        <v>2</v>
      </c>
      <c r="AV112" s="19">
        <f t="shared" si="31"/>
        <v>3.5</v>
      </c>
      <c r="AW112" s="4"/>
      <c r="AY112">
        <v>4</v>
      </c>
      <c r="AZ112">
        <v>4</v>
      </c>
      <c r="BA112">
        <v>4</v>
      </c>
      <c r="BB112">
        <v>3</v>
      </c>
      <c r="BC112">
        <v>3</v>
      </c>
      <c r="BD112">
        <v>2</v>
      </c>
      <c r="BE112">
        <f t="shared" si="22"/>
        <v>12</v>
      </c>
      <c r="BF112">
        <f t="shared" si="23"/>
        <v>1</v>
      </c>
      <c r="BG112">
        <f t="shared" si="24"/>
        <v>13</v>
      </c>
      <c r="BI112">
        <v>4</v>
      </c>
      <c r="BJ112">
        <v>5</v>
      </c>
      <c r="BK112">
        <v>1</v>
      </c>
      <c r="BL112">
        <v>3</v>
      </c>
      <c r="BM112">
        <v>4</v>
      </c>
      <c r="BN112">
        <v>3</v>
      </c>
      <c r="BO112">
        <f t="shared" si="25"/>
        <v>14</v>
      </c>
      <c r="BP112">
        <f t="shared" si="26"/>
        <v>0</v>
      </c>
      <c r="BQ112">
        <f t="shared" si="27"/>
        <v>14</v>
      </c>
      <c r="BR112">
        <f t="shared" si="28"/>
        <v>27</v>
      </c>
    </row>
    <row r="113" spans="1:70" ht="30" x14ac:dyDescent="0.25">
      <c r="A113" s="2" t="s">
        <v>33</v>
      </c>
      <c r="B113">
        <v>100</v>
      </c>
      <c r="C113">
        <v>202</v>
      </c>
      <c r="D113" s="2" t="s">
        <v>62</v>
      </c>
      <c r="E113" s="1">
        <v>44489.118407928239</v>
      </c>
      <c r="F113" s="2" t="s">
        <v>63</v>
      </c>
      <c r="G113" s="2" t="s">
        <v>63</v>
      </c>
      <c r="H113" s="2" t="s">
        <v>63</v>
      </c>
      <c r="I113" s="2" t="s">
        <v>63</v>
      </c>
      <c r="J113" s="2" t="s">
        <v>64</v>
      </c>
      <c r="K113" s="2" t="s">
        <v>65</v>
      </c>
      <c r="L113" s="2" t="s">
        <v>71</v>
      </c>
      <c r="M113" s="2" t="s">
        <v>71</v>
      </c>
      <c r="N113" s="2" t="s">
        <v>74</v>
      </c>
      <c r="O113" s="2" t="s">
        <v>67</v>
      </c>
      <c r="P113" s="2" t="s">
        <v>71</v>
      </c>
      <c r="Q113" s="2" t="s">
        <v>71</v>
      </c>
      <c r="R113" s="2" t="s">
        <v>72</v>
      </c>
      <c r="S113">
        <v>0</v>
      </c>
      <c r="T113">
        <v>0</v>
      </c>
      <c r="U113">
        <v>6</v>
      </c>
      <c r="V113">
        <v>7</v>
      </c>
      <c r="W113">
        <v>5</v>
      </c>
      <c r="X113">
        <v>2</v>
      </c>
      <c r="Y113" s="2" t="s">
        <v>68</v>
      </c>
      <c r="Z113">
        <v>0</v>
      </c>
      <c r="AA113">
        <v>0</v>
      </c>
      <c r="AB113">
        <v>6</v>
      </c>
      <c r="AC113">
        <v>7</v>
      </c>
      <c r="AD113">
        <v>5</v>
      </c>
      <c r="AE113">
        <v>2</v>
      </c>
      <c r="AF113" s="10" t="s">
        <v>187</v>
      </c>
      <c r="AG113" s="4"/>
      <c r="AH113" s="8">
        <v>111</v>
      </c>
      <c r="AI113">
        <v>0</v>
      </c>
      <c r="AJ113">
        <v>1</v>
      </c>
      <c r="AK113" s="8" t="s">
        <v>317</v>
      </c>
      <c r="AL113" t="s">
        <v>320</v>
      </c>
      <c r="AM113" t="str">
        <f t="shared" si="29"/>
        <v>Lie</v>
      </c>
      <c r="AN113" s="4"/>
      <c r="AO113">
        <f t="shared" si="16"/>
        <v>2</v>
      </c>
      <c r="AP113">
        <f t="shared" si="17"/>
        <v>2</v>
      </c>
      <c r="AQ113">
        <f t="shared" si="18"/>
        <v>3</v>
      </c>
      <c r="AR113">
        <f t="shared" si="19"/>
        <v>6</v>
      </c>
      <c r="AS113">
        <f t="shared" si="30"/>
        <v>2</v>
      </c>
      <c r="AT113">
        <f t="shared" si="20"/>
        <v>2</v>
      </c>
      <c r="AU113">
        <f t="shared" si="21"/>
        <v>2</v>
      </c>
      <c r="AV113" s="19">
        <f t="shared" si="31"/>
        <v>2.1666666666666665</v>
      </c>
      <c r="AW113" s="4"/>
      <c r="AY113">
        <v>5</v>
      </c>
      <c r="AZ113">
        <v>2</v>
      </c>
      <c r="BA113">
        <v>3</v>
      </c>
      <c r="BB113">
        <v>4</v>
      </c>
      <c r="BC113">
        <v>4</v>
      </c>
      <c r="BD113">
        <v>2</v>
      </c>
      <c r="BE113">
        <f t="shared" si="22"/>
        <v>14</v>
      </c>
      <c r="BF113">
        <f t="shared" si="23"/>
        <v>0</v>
      </c>
      <c r="BG113">
        <f t="shared" si="24"/>
        <v>14</v>
      </c>
      <c r="BI113">
        <v>4</v>
      </c>
      <c r="BJ113">
        <v>2</v>
      </c>
      <c r="BK113">
        <v>3</v>
      </c>
      <c r="BL113">
        <v>4</v>
      </c>
      <c r="BM113">
        <v>5</v>
      </c>
      <c r="BN113">
        <v>2</v>
      </c>
      <c r="BO113">
        <f t="shared" si="25"/>
        <v>12</v>
      </c>
      <c r="BP113">
        <f t="shared" si="26"/>
        <v>1</v>
      </c>
      <c r="BQ113">
        <f t="shared" si="27"/>
        <v>13</v>
      </c>
      <c r="BR113">
        <f t="shared" si="28"/>
        <v>27</v>
      </c>
    </row>
    <row r="114" spans="1:70" ht="60" x14ac:dyDescent="0.25">
      <c r="A114" s="2" t="s">
        <v>33</v>
      </c>
      <c r="B114">
        <v>100</v>
      </c>
      <c r="C114">
        <v>182</v>
      </c>
      <c r="D114" s="2" t="s">
        <v>62</v>
      </c>
      <c r="E114" s="1">
        <v>44489.240853553238</v>
      </c>
      <c r="F114" s="2" t="s">
        <v>63</v>
      </c>
      <c r="G114" s="2" t="s">
        <v>63</v>
      </c>
      <c r="H114" s="2" t="s">
        <v>63</v>
      </c>
      <c r="I114" s="2" t="s">
        <v>63</v>
      </c>
      <c r="J114" s="2" t="s">
        <v>64</v>
      </c>
      <c r="K114" s="2" t="s">
        <v>65</v>
      </c>
      <c r="L114" s="2" t="s">
        <v>74</v>
      </c>
      <c r="M114" s="2" t="s">
        <v>74</v>
      </c>
      <c r="N114" s="2" t="s">
        <v>75</v>
      </c>
      <c r="O114" s="2" t="s">
        <v>74</v>
      </c>
      <c r="P114" s="2" t="s">
        <v>74</v>
      </c>
      <c r="Q114" s="2" t="s">
        <v>75</v>
      </c>
      <c r="R114" s="2" t="s">
        <v>72</v>
      </c>
      <c r="S114">
        <v>1</v>
      </c>
      <c r="T114">
        <v>6</v>
      </c>
      <c r="U114">
        <v>4</v>
      </c>
      <c r="V114">
        <v>6</v>
      </c>
      <c r="W114">
        <v>2</v>
      </c>
      <c r="X114">
        <v>1</v>
      </c>
      <c r="Y114" s="2" t="s">
        <v>114</v>
      </c>
      <c r="Z114">
        <v>2</v>
      </c>
      <c r="AA114">
        <v>4</v>
      </c>
      <c r="AB114">
        <v>2</v>
      </c>
      <c r="AC114">
        <v>8</v>
      </c>
      <c r="AD114">
        <v>3</v>
      </c>
      <c r="AE114">
        <v>1</v>
      </c>
      <c r="AF114" s="10" t="s">
        <v>188</v>
      </c>
      <c r="AG114" s="4"/>
      <c r="AH114" s="8">
        <v>112</v>
      </c>
      <c r="AI114">
        <v>0</v>
      </c>
      <c r="AJ114">
        <v>0</v>
      </c>
      <c r="AK114" s="8" t="s">
        <v>317</v>
      </c>
      <c r="AL114" t="s">
        <v>318</v>
      </c>
      <c r="AM114" t="str">
        <f t="shared" si="29"/>
        <v>Honest</v>
      </c>
      <c r="AN114" s="4"/>
      <c r="AO114">
        <f t="shared" si="16"/>
        <v>3</v>
      </c>
      <c r="AP114">
        <f t="shared" si="17"/>
        <v>3</v>
      </c>
      <c r="AQ114">
        <f t="shared" si="18"/>
        <v>4</v>
      </c>
      <c r="AR114">
        <f t="shared" si="19"/>
        <v>3</v>
      </c>
      <c r="AS114">
        <f t="shared" si="30"/>
        <v>5</v>
      </c>
      <c r="AT114">
        <f t="shared" si="20"/>
        <v>3</v>
      </c>
      <c r="AU114">
        <f t="shared" si="21"/>
        <v>4</v>
      </c>
      <c r="AV114" s="19">
        <f t="shared" si="31"/>
        <v>3.6666666666666665</v>
      </c>
      <c r="AW114" s="4"/>
      <c r="AY114">
        <v>5</v>
      </c>
      <c r="AZ114">
        <v>3</v>
      </c>
      <c r="BA114">
        <v>4</v>
      </c>
      <c r="BB114">
        <v>3</v>
      </c>
      <c r="BC114">
        <v>2</v>
      </c>
      <c r="BD114">
        <v>3</v>
      </c>
      <c r="BE114">
        <f t="shared" si="22"/>
        <v>12</v>
      </c>
      <c r="BF114">
        <f t="shared" si="23"/>
        <v>0</v>
      </c>
      <c r="BG114">
        <f t="shared" si="24"/>
        <v>12</v>
      </c>
      <c r="BI114">
        <v>5</v>
      </c>
      <c r="BJ114">
        <v>3</v>
      </c>
      <c r="BK114">
        <v>4</v>
      </c>
      <c r="BL114">
        <v>3</v>
      </c>
      <c r="BM114">
        <v>2</v>
      </c>
      <c r="BN114">
        <v>3</v>
      </c>
      <c r="BO114">
        <f t="shared" si="25"/>
        <v>14</v>
      </c>
      <c r="BP114">
        <f t="shared" si="26"/>
        <v>1</v>
      </c>
      <c r="BQ114">
        <f t="shared" si="27"/>
        <v>15</v>
      </c>
      <c r="BR114">
        <f t="shared" si="28"/>
        <v>27</v>
      </c>
    </row>
    <row r="115" spans="1:70" ht="30" x14ac:dyDescent="0.25">
      <c r="A115" s="2" t="s">
        <v>33</v>
      </c>
      <c r="B115">
        <v>100</v>
      </c>
      <c r="C115">
        <v>273</v>
      </c>
      <c r="D115" s="2" t="s">
        <v>62</v>
      </c>
      <c r="E115" s="1">
        <v>44489.290828958336</v>
      </c>
      <c r="F115" s="2" t="s">
        <v>63</v>
      </c>
      <c r="G115" s="2" t="s">
        <v>63</v>
      </c>
      <c r="H115" s="2" t="s">
        <v>63</v>
      </c>
      <c r="I115" s="2" t="s">
        <v>63</v>
      </c>
      <c r="J115" s="2" t="s">
        <v>64</v>
      </c>
      <c r="K115" s="2" t="s">
        <v>65</v>
      </c>
      <c r="L115" s="2" t="s">
        <v>67</v>
      </c>
      <c r="M115" s="2" t="s">
        <v>67</v>
      </c>
      <c r="N115" s="2" t="s">
        <v>67</v>
      </c>
      <c r="O115" s="2" t="s">
        <v>71</v>
      </c>
      <c r="P115" s="2" t="s">
        <v>67</v>
      </c>
      <c r="Q115" s="2" t="s">
        <v>67</v>
      </c>
      <c r="R115" s="2" t="s">
        <v>69</v>
      </c>
      <c r="S115">
        <v>0</v>
      </c>
      <c r="T115">
        <v>3</v>
      </c>
      <c r="U115">
        <v>2</v>
      </c>
      <c r="V115">
        <v>4</v>
      </c>
      <c r="W115">
        <v>5</v>
      </c>
      <c r="X115">
        <v>6</v>
      </c>
      <c r="Y115" s="2" t="s">
        <v>68</v>
      </c>
      <c r="Z115">
        <v>0</v>
      </c>
      <c r="AA115">
        <v>2</v>
      </c>
      <c r="AB115">
        <v>2</v>
      </c>
      <c r="AC115">
        <v>5</v>
      </c>
      <c r="AD115">
        <v>5</v>
      </c>
      <c r="AE115">
        <v>6</v>
      </c>
      <c r="AF115" s="10" t="s">
        <v>189</v>
      </c>
      <c r="AG115" s="4"/>
      <c r="AH115" s="8">
        <v>113</v>
      </c>
      <c r="AI115">
        <v>0</v>
      </c>
      <c r="AJ115">
        <v>0</v>
      </c>
      <c r="AK115" s="8" t="s">
        <v>317</v>
      </c>
      <c r="AL115" t="s">
        <v>318</v>
      </c>
      <c r="AM115" t="str">
        <f t="shared" si="29"/>
        <v>Honest</v>
      </c>
      <c r="AN115" s="4"/>
      <c r="AO115">
        <f t="shared" si="16"/>
        <v>6</v>
      </c>
      <c r="AP115">
        <f t="shared" si="17"/>
        <v>6</v>
      </c>
      <c r="AQ115">
        <f t="shared" si="18"/>
        <v>6</v>
      </c>
      <c r="AR115">
        <f t="shared" si="19"/>
        <v>2</v>
      </c>
      <c r="AS115">
        <f t="shared" si="30"/>
        <v>6</v>
      </c>
      <c r="AT115">
        <f t="shared" si="20"/>
        <v>6</v>
      </c>
      <c r="AU115">
        <f t="shared" si="21"/>
        <v>6</v>
      </c>
      <c r="AV115" s="19">
        <f t="shared" si="31"/>
        <v>6</v>
      </c>
      <c r="AW115" s="4"/>
      <c r="AY115">
        <v>2</v>
      </c>
      <c r="AZ115">
        <v>2</v>
      </c>
      <c r="BA115">
        <v>3</v>
      </c>
      <c r="BB115">
        <v>5</v>
      </c>
      <c r="BC115">
        <v>1</v>
      </c>
      <c r="BD115">
        <v>7</v>
      </c>
      <c r="BE115">
        <f t="shared" si="22"/>
        <v>10</v>
      </c>
      <c r="BF115">
        <f t="shared" si="23"/>
        <v>1</v>
      </c>
      <c r="BG115">
        <f t="shared" si="24"/>
        <v>11</v>
      </c>
      <c r="BI115">
        <v>2</v>
      </c>
      <c r="BJ115">
        <v>2</v>
      </c>
      <c r="BK115">
        <v>3</v>
      </c>
      <c r="BL115">
        <v>5</v>
      </c>
      <c r="BM115">
        <v>1</v>
      </c>
      <c r="BN115">
        <v>7</v>
      </c>
      <c r="BO115">
        <f t="shared" si="25"/>
        <v>8</v>
      </c>
      <c r="BP115">
        <f t="shared" si="26"/>
        <v>1</v>
      </c>
      <c r="BQ115">
        <f t="shared" si="27"/>
        <v>9</v>
      </c>
      <c r="BR115">
        <f t="shared" si="28"/>
        <v>20</v>
      </c>
    </row>
    <row r="116" spans="1:70" ht="30" x14ac:dyDescent="0.25">
      <c r="A116" s="2" t="s">
        <v>33</v>
      </c>
      <c r="B116">
        <v>100</v>
      </c>
      <c r="C116">
        <v>473</v>
      </c>
      <c r="D116" s="2" t="s">
        <v>62</v>
      </c>
      <c r="E116" s="1">
        <v>44489.489621851855</v>
      </c>
      <c r="F116" s="2" t="s">
        <v>63</v>
      </c>
      <c r="G116" s="2" t="s">
        <v>63</v>
      </c>
      <c r="H116" s="2" t="s">
        <v>63</v>
      </c>
      <c r="I116" s="2" t="s">
        <v>63</v>
      </c>
      <c r="J116" s="2" t="s">
        <v>64</v>
      </c>
      <c r="K116" s="2" t="s">
        <v>65</v>
      </c>
      <c r="L116" s="2" t="s">
        <v>71</v>
      </c>
      <c r="M116" s="2" t="s">
        <v>74</v>
      </c>
      <c r="N116" s="2" t="s">
        <v>66</v>
      </c>
      <c r="O116" s="2" t="s">
        <v>67</v>
      </c>
      <c r="P116" s="2" t="s">
        <v>71</v>
      </c>
      <c r="Q116" s="2" t="s">
        <v>74</v>
      </c>
      <c r="R116" s="2" t="s">
        <v>72</v>
      </c>
      <c r="S116">
        <v>1</v>
      </c>
      <c r="T116">
        <v>3</v>
      </c>
      <c r="U116">
        <v>4</v>
      </c>
      <c r="V116">
        <v>4</v>
      </c>
      <c r="W116">
        <v>5</v>
      </c>
      <c r="X116">
        <v>3</v>
      </c>
      <c r="Y116" s="2" t="s">
        <v>72</v>
      </c>
      <c r="Z116">
        <v>2</v>
      </c>
      <c r="AA116">
        <v>3</v>
      </c>
      <c r="AB116">
        <v>4</v>
      </c>
      <c r="AC116">
        <v>4</v>
      </c>
      <c r="AD116">
        <v>4</v>
      </c>
      <c r="AE116">
        <v>3</v>
      </c>
      <c r="AF116" s="10" t="s">
        <v>190</v>
      </c>
      <c r="AG116" s="4"/>
      <c r="AH116" s="8">
        <v>114</v>
      </c>
      <c r="AI116">
        <v>0</v>
      </c>
      <c r="AJ116">
        <v>0</v>
      </c>
      <c r="AK116" s="8" t="s">
        <v>315</v>
      </c>
      <c r="AL116" t="s">
        <v>316</v>
      </c>
      <c r="AM116" t="str">
        <f t="shared" si="29"/>
        <v>Honest</v>
      </c>
      <c r="AN116" s="4"/>
      <c r="AO116">
        <f t="shared" si="16"/>
        <v>2</v>
      </c>
      <c r="AP116">
        <f t="shared" si="17"/>
        <v>3</v>
      </c>
      <c r="AQ116">
        <f t="shared" si="18"/>
        <v>1</v>
      </c>
      <c r="AR116">
        <f t="shared" si="19"/>
        <v>6</v>
      </c>
      <c r="AS116">
        <f t="shared" si="30"/>
        <v>2</v>
      </c>
      <c r="AT116">
        <f t="shared" si="20"/>
        <v>2</v>
      </c>
      <c r="AU116">
        <f t="shared" si="21"/>
        <v>3</v>
      </c>
      <c r="AV116" s="19">
        <f t="shared" si="31"/>
        <v>2.1666666666666665</v>
      </c>
      <c r="AW116" s="4"/>
      <c r="AY116">
        <v>0</v>
      </c>
      <c r="AZ116">
        <v>6</v>
      </c>
      <c r="BA116">
        <v>5</v>
      </c>
      <c r="BB116">
        <v>1</v>
      </c>
      <c r="BC116">
        <v>5</v>
      </c>
      <c r="BD116">
        <v>3</v>
      </c>
      <c r="BE116">
        <f t="shared" si="22"/>
        <v>8</v>
      </c>
      <c r="BF116">
        <f t="shared" si="23"/>
        <v>0</v>
      </c>
      <c r="BG116">
        <f t="shared" si="24"/>
        <v>8</v>
      </c>
      <c r="BI116">
        <v>0</v>
      </c>
      <c r="BJ116">
        <v>6</v>
      </c>
      <c r="BK116">
        <v>5</v>
      </c>
      <c r="BL116">
        <v>1</v>
      </c>
      <c r="BM116">
        <v>5</v>
      </c>
      <c r="BN116">
        <v>3</v>
      </c>
      <c r="BO116">
        <f t="shared" si="25"/>
        <v>10</v>
      </c>
      <c r="BP116">
        <f t="shared" si="26"/>
        <v>1</v>
      </c>
      <c r="BQ116">
        <f t="shared" si="27"/>
        <v>11</v>
      </c>
      <c r="BR116">
        <f t="shared" si="28"/>
        <v>19</v>
      </c>
    </row>
    <row r="117" spans="1:70" s="4" customFormat="1" ht="30" x14ac:dyDescent="0.25">
      <c r="A117" s="2" t="s">
        <v>33</v>
      </c>
      <c r="B117">
        <v>100</v>
      </c>
      <c r="C117">
        <v>249</v>
      </c>
      <c r="D117" s="2" t="s">
        <v>62</v>
      </c>
      <c r="E117" s="1">
        <v>44489.501275069444</v>
      </c>
      <c r="F117" s="2" t="s">
        <v>63</v>
      </c>
      <c r="G117" s="2" t="s">
        <v>63</v>
      </c>
      <c r="H117" s="2" t="s">
        <v>63</v>
      </c>
      <c r="I117" s="2" t="s">
        <v>63</v>
      </c>
      <c r="J117" s="2" t="s">
        <v>64</v>
      </c>
      <c r="K117" s="2" t="s">
        <v>65</v>
      </c>
      <c r="L117" s="2" t="s">
        <v>71</v>
      </c>
      <c r="M117" s="2" t="s">
        <v>66</v>
      </c>
      <c r="N117" s="2" t="s">
        <v>71</v>
      </c>
      <c r="O117" s="2" t="s">
        <v>71</v>
      </c>
      <c r="P117" s="2" t="s">
        <v>71</v>
      </c>
      <c r="Q117" s="2" t="s">
        <v>71</v>
      </c>
      <c r="R117" s="2" t="s">
        <v>114</v>
      </c>
      <c r="S117">
        <v>5</v>
      </c>
      <c r="T117">
        <v>5</v>
      </c>
      <c r="U117">
        <v>2</v>
      </c>
      <c r="V117">
        <v>2</v>
      </c>
      <c r="W117">
        <v>5</v>
      </c>
      <c r="X117">
        <v>1</v>
      </c>
      <c r="Y117" s="2" t="s">
        <v>114</v>
      </c>
      <c r="Z117">
        <v>5</v>
      </c>
      <c r="AA117">
        <v>5</v>
      </c>
      <c r="AB117">
        <v>2</v>
      </c>
      <c r="AC117">
        <v>2</v>
      </c>
      <c r="AD117">
        <v>5</v>
      </c>
      <c r="AE117">
        <v>1</v>
      </c>
      <c r="AF117" s="10" t="s">
        <v>191</v>
      </c>
      <c r="AH117" s="8">
        <v>115</v>
      </c>
      <c r="AI117">
        <v>0</v>
      </c>
      <c r="AJ117">
        <v>19</v>
      </c>
      <c r="AK117" s="8" t="s">
        <v>317</v>
      </c>
      <c r="AL117" t="s">
        <v>320</v>
      </c>
      <c r="AM117" t="str">
        <f t="shared" si="29"/>
        <v>Lie</v>
      </c>
      <c r="AO117">
        <f t="shared" si="16"/>
        <v>2</v>
      </c>
      <c r="AP117">
        <f t="shared" si="17"/>
        <v>1</v>
      </c>
      <c r="AQ117">
        <f t="shared" si="18"/>
        <v>2</v>
      </c>
      <c r="AR117">
        <f t="shared" si="19"/>
        <v>2</v>
      </c>
      <c r="AS117">
        <f t="shared" si="30"/>
        <v>6</v>
      </c>
      <c r="AT117">
        <f t="shared" si="20"/>
        <v>2</v>
      </c>
      <c r="AU117">
        <f t="shared" si="21"/>
        <v>2</v>
      </c>
      <c r="AV117" s="19">
        <f t="shared" si="31"/>
        <v>2.5</v>
      </c>
      <c r="AX117"/>
      <c r="AY117">
        <v>0</v>
      </c>
      <c r="AZ117">
        <v>0</v>
      </c>
      <c r="BA117">
        <v>1</v>
      </c>
      <c r="BB117">
        <v>0</v>
      </c>
      <c r="BC117">
        <v>0</v>
      </c>
      <c r="BD117">
        <v>0</v>
      </c>
      <c r="BE117">
        <f t="shared" si="22"/>
        <v>19</v>
      </c>
      <c r="BF117">
        <f t="shared" si="23"/>
        <v>1</v>
      </c>
      <c r="BG117">
        <f t="shared" si="24"/>
        <v>20</v>
      </c>
      <c r="BH117" s="8"/>
      <c r="BI117">
        <v>3</v>
      </c>
      <c r="BJ117">
        <v>6</v>
      </c>
      <c r="BK117">
        <v>2</v>
      </c>
      <c r="BL117">
        <v>1</v>
      </c>
      <c r="BM117">
        <v>5</v>
      </c>
      <c r="BN117">
        <v>3</v>
      </c>
      <c r="BO117">
        <f t="shared" si="25"/>
        <v>6</v>
      </c>
      <c r="BP117">
        <f t="shared" si="26"/>
        <v>1</v>
      </c>
      <c r="BQ117">
        <f t="shared" si="27"/>
        <v>7</v>
      </c>
      <c r="BR117">
        <f t="shared" si="28"/>
        <v>27</v>
      </c>
    </row>
    <row r="118" spans="1:70" s="4" customFormat="1" ht="30" x14ac:dyDescent="0.25">
      <c r="A118" s="2" t="s">
        <v>33</v>
      </c>
      <c r="B118">
        <v>100</v>
      </c>
      <c r="C118">
        <v>254</v>
      </c>
      <c r="D118" s="2" t="s">
        <v>62</v>
      </c>
      <c r="E118" s="1">
        <v>44489.603049050929</v>
      </c>
      <c r="F118" s="2" t="s">
        <v>63</v>
      </c>
      <c r="G118" s="2" t="s">
        <v>63</v>
      </c>
      <c r="H118" s="2" t="s">
        <v>63</v>
      </c>
      <c r="I118" s="2" t="s">
        <v>63</v>
      </c>
      <c r="J118" s="2" t="s">
        <v>64</v>
      </c>
      <c r="K118" s="2" t="s">
        <v>65</v>
      </c>
      <c r="L118" s="2" t="s">
        <v>66</v>
      </c>
      <c r="M118" s="2" t="s">
        <v>71</v>
      </c>
      <c r="N118" s="2" t="s">
        <v>66</v>
      </c>
      <c r="O118" s="2" t="s">
        <v>78</v>
      </c>
      <c r="P118" s="2" t="s">
        <v>71</v>
      </c>
      <c r="Q118" s="2" t="s">
        <v>66</v>
      </c>
      <c r="R118" s="2" t="s">
        <v>68</v>
      </c>
      <c r="S118">
        <v>3</v>
      </c>
      <c r="T118">
        <v>2</v>
      </c>
      <c r="U118">
        <v>1</v>
      </c>
      <c r="V118">
        <v>5</v>
      </c>
      <c r="W118">
        <v>5</v>
      </c>
      <c r="X118">
        <v>4</v>
      </c>
      <c r="Y118" s="2" t="s">
        <v>68</v>
      </c>
      <c r="Z118">
        <v>1</v>
      </c>
      <c r="AA118">
        <v>3</v>
      </c>
      <c r="AB118">
        <v>2</v>
      </c>
      <c r="AC118">
        <v>6</v>
      </c>
      <c r="AD118">
        <v>5</v>
      </c>
      <c r="AE118">
        <v>3</v>
      </c>
      <c r="AF118" s="10" t="s">
        <v>192</v>
      </c>
      <c r="AH118" s="8">
        <v>116</v>
      </c>
      <c r="AI118">
        <v>0</v>
      </c>
      <c r="AJ118">
        <v>3</v>
      </c>
      <c r="AK118" s="8" t="s">
        <v>315</v>
      </c>
      <c r="AL118" t="s">
        <v>319</v>
      </c>
      <c r="AM118" t="str">
        <f t="shared" si="29"/>
        <v>Lie</v>
      </c>
      <c r="AO118">
        <f t="shared" si="16"/>
        <v>1</v>
      </c>
      <c r="AP118">
        <f t="shared" si="17"/>
        <v>2</v>
      </c>
      <c r="AQ118">
        <f t="shared" si="18"/>
        <v>1</v>
      </c>
      <c r="AR118">
        <f t="shared" si="19"/>
        <v>7</v>
      </c>
      <c r="AS118">
        <f t="shared" si="30"/>
        <v>1</v>
      </c>
      <c r="AT118">
        <f t="shared" si="20"/>
        <v>2</v>
      </c>
      <c r="AU118">
        <f t="shared" si="21"/>
        <v>1</v>
      </c>
      <c r="AV118" s="19">
        <f t="shared" si="31"/>
        <v>1.3333333333333333</v>
      </c>
      <c r="AX118"/>
      <c r="AY118">
        <v>4</v>
      </c>
      <c r="AZ118">
        <v>2</v>
      </c>
      <c r="BA118">
        <v>3</v>
      </c>
      <c r="BB118">
        <v>4</v>
      </c>
      <c r="BC118">
        <v>2</v>
      </c>
      <c r="BD118">
        <v>5</v>
      </c>
      <c r="BE118">
        <f t="shared" si="22"/>
        <v>8</v>
      </c>
      <c r="BF118">
        <f t="shared" si="23"/>
        <v>1</v>
      </c>
      <c r="BG118">
        <f t="shared" si="24"/>
        <v>9</v>
      </c>
      <c r="BH118" s="8"/>
      <c r="BI118">
        <v>3</v>
      </c>
      <c r="BJ118">
        <v>2</v>
      </c>
      <c r="BK118">
        <v>3</v>
      </c>
      <c r="BL118">
        <v>3</v>
      </c>
      <c r="BM118">
        <v>4</v>
      </c>
      <c r="BN118">
        <v>5</v>
      </c>
      <c r="BO118">
        <f t="shared" si="25"/>
        <v>10</v>
      </c>
      <c r="BP118">
        <f t="shared" si="26"/>
        <v>1</v>
      </c>
      <c r="BQ118">
        <f t="shared" si="27"/>
        <v>11</v>
      </c>
      <c r="BR118">
        <f t="shared" si="28"/>
        <v>20</v>
      </c>
    </row>
    <row r="119" spans="1:70" ht="30" x14ac:dyDescent="0.25">
      <c r="A119" s="2" t="s">
        <v>33</v>
      </c>
      <c r="B119">
        <v>100</v>
      </c>
      <c r="C119">
        <v>157</v>
      </c>
      <c r="D119" s="2" t="s">
        <v>62</v>
      </c>
      <c r="E119" s="1">
        <v>44491.162947141202</v>
      </c>
      <c r="F119" s="2" t="s">
        <v>63</v>
      </c>
      <c r="G119" s="2" t="s">
        <v>63</v>
      </c>
      <c r="H119" s="2" t="s">
        <v>63</v>
      </c>
      <c r="I119" s="2" t="s">
        <v>63</v>
      </c>
      <c r="J119" s="2" t="s">
        <v>64</v>
      </c>
      <c r="K119" s="2" t="s">
        <v>65</v>
      </c>
      <c r="L119" s="2" t="s">
        <v>71</v>
      </c>
      <c r="M119" s="2" t="s">
        <v>71</v>
      </c>
      <c r="N119" s="2" t="s">
        <v>71</v>
      </c>
      <c r="O119" s="2" t="s">
        <v>74</v>
      </c>
      <c r="P119" s="2" t="s">
        <v>71</v>
      </c>
      <c r="Q119" s="2" t="s">
        <v>71</v>
      </c>
      <c r="R119" s="2" t="s">
        <v>69</v>
      </c>
      <c r="S119">
        <v>5</v>
      </c>
      <c r="T119">
        <v>0</v>
      </c>
      <c r="U119">
        <v>0</v>
      </c>
      <c r="V119">
        <v>10</v>
      </c>
      <c r="W119">
        <v>0</v>
      </c>
      <c r="X119">
        <v>5</v>
      </c>
      <c r="Y119" s="2" t="s">
        <v>69</v>
      </c>
      <c r="Z119">
        <v>4</v>
      </c>
      <c r="AA119">
        <v>0</v>
      </c>
      <c r="AB119">
        <v>1</v>
      </c>
      <c r="AC119">
        <v>9</v>
      </c>
      <c r="AD119">
        <v>0</v>
      </c>
      <c r="AE119">
        <v>6</v>
      </c>
      <c r="AF119" s="10" t="s">
        <v>193</v>
      </c>
      <c r="AG119" s="4"/>
      <c r="AH119" s="8">
        <v>117</v>
      </c>
      <c r="AI119">
        <v>5</v>
      </c>
      <c r="AJ119">
        <v>1</v>
      </c>
      <c r="AK119" s="8" t="s">
        <v>315</v>
      </c>
      <c r="AL119" t="s">
        <v>319</v>
      </c>
      <c r="AM119" t="str">
        <f t="shared" si="29"/>
        <v>Lie</v>
      </c>
      <c r="AN119" s="4"/>
      <c r="AO119">
        <f t="shared" si="16"/>
        <v>2</v>
      </c>
      <c r="AP119">
        <f t="shared" si="17"/>
        <v>2</v>
      </c>
      <c r="AQ119">
        <f t="shared" si="18"/>
        <v>2</v>
      </c>
      <c r="AR119">
        <f t="shared" si="19"/>
        <v>3</v>
      </c>
      <c r="AS119">
        <f t="shared" si="30"/>
        <v>5</v>
      </c>
      <c r="AT119">
        <f t="shared" si="20"/>
        <v>2</v>
      </c>
      <c r="AU119">
        <f t="shared" si="21"/>
        <v>2</v>
      </c>
      <c r="AV119" s="19">
        <f t="shared" si="31"/>
        <v>2.5</v>
      </c>
      <c r="AW119" s="4"/>
      <c r="AY119">
        <v>2</v>
      </c>
      <c r="AZ119">
        <v>3</v>
      </c>
      <c r="BA119">
        <v>0</v>
      </c>
      <c r="BB119">
        <v>6</v>
      </c>
      <c r="BC119">
        <v>3</v>
      </c>
      <c r="BD119">
        <v>2</v>
      </c>
      <c r="BE119">
        <f t="shared" si="22"/>
        <v>16</v>
      </c>
      <c r="BF119">
        <f t="shared" si="23"/>
        <v>1</v>
      </c>
      <c r="BG119">
        <f t="shared" si="24"/>
        <v>17</v>
      </c>
      <c r="BI119">
        <v>1</v>
      </c>
      <c r="BJ119">
        <v>3</v>
      </c>
      <c r="BK119">
        <v>2</v>
      </c>
      <c r="BL119">
        <v>6</v>
      </c>
      <c r="BM119">
        <v>5</v>
      </c>
      <c r="BN119">
        <v>3</v>
      </c>
      <c r="BO119">
        <f t="shared" si="25"/>
        <v>18</v>
      </c>
      <c r="BP119">
        <f t="shared" si="26"/>
        <v>0</v>
      </c>
      <c r="BQ119">
        <f t="shared" si="27"/>
        <v>18</v>
      </c>
      <c r="BR119">
        <f t="shared" si="28"/>
        <v>35</v>
      </c>
    </row>
    <row r="120" spans="1:70" ht="30" x14ac:dyDescent="0.25">
      <c r="A120" s="2" t="s">
        <v>33</v>
      </c>
      <c r="B120">
        <v>100</v>
      </c>
      <c r="C120">
        <v>308</v>
      </c>
      <c r="D120" s="2" t="s">
        <v>62</v>
      </c>
      <c r="E120" s="1">
        <v>44491.483988449072</v>
      </c>
      <c r="F120" s="2" t="s">
        <v>63</v>
      </c>
      <c r="G120" s="2" t="s">
        <v>63</v>
      </c>
      <c r="H120" s="2" t="s">
        <v>63</v>
      </c>
      <c r="I120" s="2" t="s">
        <v>63</v>
      </c>
      <c r="J120" s="2" t="s">
        <v>64</v>
      </c>
      <c r="K120" s="2" t="s">
        <v>65</v>
      </c>
      <c r="L120" s="2" t="s">
        <v>78</v>
      </c>
      <c r="M120" s="2" t="s">
        <v>78</v>
      </c>
      <c r="N120" s="2" t="s">
        <v>78</v>
      </c>
      <c r="O120" s="2" t="s">
        <v>66</v>
      </c>
      <c r="P120" s="2" t="s">
        <v>78</v>
      </c>
      <c r="Q120" s="2" t="s">
        <v>78</v>
      </c>
      <c r="R120" s="2" t="s">
        <v>68</v>
      </c>
      <c r="S120">
        <v>5</v>
      </c>
      <c r="T120">
        <v>3</v>
      </c>
      <c r="U120">
        <v>1</v>
      </c>
      <c r="V120">
        <v>4</v>
      </c>
      <c r="W120">
        <v>4</v>
      </c>
      <c r="X120">
        <v>3</v>
      </c>
      <c r="Y120" s="2" t="s">
        <v>114</v>
      </c>
      <c r="Z120">
        <v>5</v>
      </c>
      <c r="AA120">
        <v>2</v>
      </c>
      <c r="AB120">
        <v>1</v>
      </c>
      <c r="AC120">
        <v>4</v>
      </c>
      <c r="AD120">
        <v>4</v>
      </c>
      <c r="AE120">
        <v>4</v>
      </c>
      <c r="AF120" s="10" t="s">
        <v>194</v>
      </c>
      <c r="AG120" s="4"/>
      <c r="AH120" s="8">
        <v>118</v>
      </c>
      <c r="AI120">
        <v>17</v>
      </c>
      <c r="AJ120">
        <v>18</v>
      </c>
      <c r="AK120" s="8" t="s">
        <v>317</v>
      </c>
      <c r="AL120" t="s">
        <v>320</v>
      </c>
      <c r="AM120" t="str">
        <f t="shared" si="29"/>
        <v>Lie</v>
      </c>
      <c r="AN120" s="4"/>
      <c r="AO120">
        <f t="shared" si="16"/>
        <v>7</v>
      </c>
      <c r="AP120">
        <f t="shared" si="17"/>
        <v>7</v>
      </c>
      <c r="AQ120">
        <f t="shared" si="18"/>
        <v>7</v>
      </c>
      <c r="AR120">
        <f t="shared" si="19"/>
        <v>1</v>
      </c>
      <c r="AS120">
        <f t="shared" si="30"/>
        <v>7</v>
      </c>
      <c r="AT120">
        <f t="shared" si="20"/>
        <v>7</v>
      </c>
      <c r="AU120">
        <f t="shared" si="21"/>
        <v>7</v>
      </c>
      <c r="AV120" s="19">
        <f t="shared" si="31"/>
        <v>7</v>
      </c>
      <c r="AW120" s="4"/>
      <c r="AY120">
        <v>5</v>
      </c>
      <c r="AZ120">
        <v>2</v>
      </c>
      <c r="BA120">
        <v>2</v>
      </c>
      <c r="BB120">
        <v>6</v>
      </c>
      <c r="BC120">
        <v>3</v>
      </c>
      <c r="BD120">
        <v>2</v>
      </c>
      <c r="BE120">
        <f t="shared" si="22"/>
        <v>6</v>
      </c>
      <c r="BF120">
        <f t="shared" si="23"/>
        <v>1</v>
      </c>
      <c r="BG120">
        <f t="shared" si="24"/>
        <v>7</v>
      </c>
      <c r="BI120">
        <v>3</v>
      </c>
      <c r="BJ120">
        <v>6</v>
      </c>
      <c r="BK120">
        <v>2</v>
      </c>
      <c r="BL120">
        <v>1</v>
      </c>
      <c r="BM120">
        <v>5</v>
      </c>
      <c r="BN120">
        <v>3</v>
      </c>
      <c r="BO120">
        <f t="shared" si="25"/>
        <v>12</v>
      </c>
      <c r="BP120">
        <f t="shared" si="26"/>
        <v>1</v>
      </c>
      <c r="BQ120">
        <f t="shared" si="27"/>
        <v>13</v>
      </c>
      <c r="BR120">
        <f t="shared" si="28"/>
        <v>20</v>
      </c>
    </row>
    <row r="121" spans="1:70" ht="30" x14ac:dyDescent="0.25">
      <c r="A121" s="2" t="s">
        <v>33</v>
      </c>
      <c r="B121">
        <v>100</v>
      </c>
      <c r="C121">
        <v>231</v>
      </c>
      <c r="D121" s="2" t="s">
        <v>62</v>
      </c>
      <c r="E121" s="1">
        <v>44491.656256747687</v>
      </c>
      <c r="F121" s="2" t="s">
        <v>63</v>
      </c>
      <c r="G121" s="2" t="s">
        <v>63</v>
      </c>
      <c r="H121" s="2" t="s">
        <v>63</v>
      </c>
      <c r="I121" s="2" t="s">
        <v>63</v>
      </c>
      <c r="J121" s="2" t="s">
        <v>64</v>
      </c>
      <c r="K121" s="2" t="s">
        <v>65</v>
      </c>
      <c r="L121" s="2" t="s">
        <v>71</v>
      </c>
      <c r="M121" s="2" t="s">
        <v>71</v>
      </c>
      <c r="N121" s="2" t="s">
        <v>71</v>
      </c>
      <c r="O121" s="2" t="s">
        <v>67</v>
      </c>
      <c r="P121" s="2" t="s">
        <v>71</v>
      </c>
      <c r="Q121" s="2" t="s">
        <v>71</v>
      </c>
      <c r="R121" s="2" t="s">
        <v>69</v>
      </c>
      <c r="S121">
        <v>4</v>
      </c>
      <c r="T121">
        <v>3</v>
      </c>
      <c r="U121">
        <v>3</v>
      </c>
      <c r="V121">
        <v>3</v>
      </c>
      <c r="W121">
        <v>4</v>
      </c>
      <c r="X121">
        <v>3</v>
      </c>
      <c r="Y121" s="2" t="s">
        <v>69</v>
      </c>
      <c r="Z121">
        <v>3</v>
      </c>
      <c r="AA121">
        <v>3</v>
      </c>
      <c r="AB121">
        <v>3</v>
      </c>
      <c r="AC121">
        <v>3</v>
      </c>
      <c r="AD121">
        <v>4</v>
      </c>
      <c r="AE121">
        <v>4</v>
      </c>
      <c r="AF121" s="10" t="s">
        <v>195</v>
      </c>
      <c r="AG121" s="4"/>
      <c r="AH121" s="8">
        <v>119</v>
      </c>
      <c r="AI121">
        <v>1</v>
      </c>
      <c r="AJ121">
        <v>0</v>
      </c>
      <c r="AK121" s="8" t="s">
        <v>315</v>
      </c>
      <c r="AL121" t="s">
        <v>316</v>
      </c>
      <c r="AM121" t="str">
        <f t="shared" si="29"/>
        <v>Honest</v>
      </c>
      <c r="AN121" s="4"/>
      <c r="AO121">
        <f t="shared" si="16"/>
        <v>2</v>
      </c>
      <c r="AP121">
        <f t="shared" si="17"/>
        <v>2</v>
      </c>
      <c r="AQ121">
        <f t="shared" si="18"/>
        <v>2</v>
      </c>
      <c r="AR121">
        <f t="shared" si="19"/>
        <v>6</v>
      </c>
      <c r="AS121">
        <f t="shared" si="30"/>
        <v>2</v>
      </c>
      <c r="AT121">
        <f t="shared" si="20"/>
        <v>2</v>
      </c>
      <c r="AU121">
        <f t="shared" si="21"/>
        <v>2</v>
      </c>
      <c r="AV121" s="19">
        <f t="shared" si="31"/>
        <v>2</v>
      </c>
      <c r="AW121" s="4"/>
      <c r="AY121">
        <v>3</v>
      </c>
      <c r="AZ121">
        <v>4</v>
      </c>
      <c r="BA121">
        <v>2</v>
      </c>
      <c r="BB121">
        <v>2</v>
      </c>
      <c r="BC121">
        <v>7</v>
      </c>
      <c r="BD121">
        <v>2</v>
      </c>
      <c r="BE121">
        <f t="shared" si="22"/>
        <v>8</v>
      </c>
      <c r="BF121">
        <f t="shared" si="23"/>
        <v>1</v>
      </c>
      <c r="BG121">
        <f t="shared" si="24"/>
        <v>9</v>
      </c>
      <c r="BI121">
        <v>3</v>
      </c>
      <c r="BJ121">
        <v>4</v>
      </c>
      <c r="BK121">
        <v>2</v>
      </c>
      <c r="BL121">
        <v>2</v>
      </c>
      <c r="BM121">
        <v>7</v>
      </c>
      <c r="BN121">
        <v>2</v>
      </c>
      <c r="BO121">
        <f t="shared" si="25"/>
        <v>8</v>
      </c>
      <c r="BP121">
        <f t="shared" si="26"/>
        <v>0</v>
      </c>
      <c r="BQ121">
        <f t="shared" si="27"/>
        <v>8</v>
      </c>
      <c r="BR121">
        <f t="shared" si="28"/>
        <v>17</v>
      </c>
    </row>
    <row r="122" spans="1:70" ht="30" x14ac:dyDescent="0.25">
      <c r="A122" s="2" t="s">
        <v>33</v>
      </c>
      <c r="B122">
        <v>100</v>
      </c>
      <c r="C122">
        <v>336</v>
      </c>
      <c r="D122" s="2" t="s">
        <v>62</v>
      </c>
      <c r="E122" s="1">
        <v>44492.171526423612</v>
      </c>
      <c r="F122" s="2" t="s">
        <v>63</v>
      </c>
      <c r="G122" s="2" t="s">
        <v>63</v>
      </c>
      <c r="H122" s="2" t="s">
        <v>63</v>
      </c>
      <c r="I122" s="2" t="s">
        <v>63</v>
      </c>
      <c r="J122" s="2" t="s">
        <v>64</v>
      </c>
      <c r="K122" s="2" t="s">
        <v>65</v>
      </c>
      <c r="L122" s="2" t="s">
        <v>66</v>
      </c>
      <c r="M122" s="2" t="s">
        <v>71</v>
      </c>
      <c r="N122" s="2" t="s">
        <v>66</v>
      </c>
      <c r="O122" s="2" t="s">
        <v>78</v>
      </c>
      <c r="P122" s="2" t="s">
        <v>71</v>
      </c>
      <c r="Q122" s="2" t="s">
        <v>71</v>
      </c>
      <c r="R122" s="2" t="s">
        <v>72</v>
      </c>
      <c r="S122">
        <v>1</v>
      </c>
      <c r="T122">
        <v>5</v>
      </c>
      <c r="U122">
        <v>1</v>
      </c>
      <c r="V122">
        <v>5</v>
      </c>
      <c r="W122">
        <v>4</v>
      </c>
      <c r="X122">
        <v>4</v>
      </c>
      <c r="Y122" s="2" t="s">
        <v>68</v>
      </c>
      <c r="Z122">
        <v>5</v>
      </c>
      <c r="AA122">
        <v>5</v>
      </c>
      <c r="AB122">
        <v>0</v>
      </c>
      <c r="AC122">
        <v>4</v>
      </c>
      <c r="AD122">
        <v>4</v>
      </c>
      <c r="AE122">
        <v>2</v>
      </c>
      <c r="AF122" s="10" t="s">
        <v>196</v>
      </c>
      <c r="AG122" s="4"/>
      <c r="AH122" s="8">
        <v>120</v>
      </c>
      <c r="AI122">
        <v>0</v>
      </c>
      <c r="AJ122">
        <v>0</v>
      </c>
      <c r="AK122" s="8" t="s">
        <v>317</v>
      </c>
      <c r="AL122" t="s">
        <v>318</v>
      </c>
      <c r="AM122" t="str">
        <f t="shared" si="29"/>
        <v>Honest</v>
      </c>
      <c r="AN122" s="4"/>
      <c r="AO122">
        <f t="shared" si="16"/>
        <v>1</v>
      </c>
      <c r="AP122">
        <f t="shared" si="17"/>
        <v>2</v>
      </c>
      <c r="AQ122">
        <f t="shared" si="18"/>
        <v>1</v>
      </c>
      <c r="AR122">
        <f t="shared" si="19"/>
        <v>7</v>
      </c>
      <c r="AS122">
        <f t="shared" si="30"/>
        <v>1</v>
      </c>
      <c r="AT122">
        <f t="shared" si="20"/>
        <v>2</v>
      </c>
      <c r="AU122">
        <f t="shared" si="21"/>
        <v>2</v>
      </c>
      <c r="AV122" s="19">
        <f t="shared" si="31"/>
        <v>1.5</v>
      </c>
      <c r="AW122" s="4"/>
      <c r="AY122">
        <v>1</v>
      </c>
      <c r="AZ122">
        <v>4</v>
      </c>
      <c r="BA122">
        <v>5</v>
      </c>
      <c r="BB122">
        <v>5</v>
      </c>
      <c r="BC122">
        <v>2</v>
      </c>
      <c r="BD122">
        <v>3</v>
      </c>
      <c r="BE122">
        <f t="shared" si="22"/>
        <v>8</v>
      </c>
      <c r="BF122">
        <f t="shared" si="23"/>
        <v>0</v>
      </c>
      <c r="BG122">
        <f t="shared" si="24"/>
        <v>8</v>
      </c>
      <c r="BI122">
        <v>1</v>
      </c>
      <c r="BJ122">
        <v>4</v>
      </c>
      <c r="BK122">
        <v>5</v>
      </c>
      <c r="BL122">
        <v>5</v>
      </c>
      <c r="BM122">
        <v>2</v>
      </c>
      <c r="BN122">
        <v>3</v>
      </c>
      <c r="BO122">
        <f t="shared" si="25"/>
        <v>14</v>
      </c>
      <c r="BP122">
        <f t="shared" si="26"/>
        <v>1</v>
      </c>
      <c r="BQ122">
        <f t="shared" si="27"/>
        <v>15</v>
      </c>
      <c r="BR122">
        <f t="shared" si="28"/>
        <v>23</v>
      </c>
    </row>
    <row r="123" spans="1:70" ht="30" x14ac:dyDescent="0.25">
      <c r="A123" s="2" t="s">
        <v>33</v>
      </c>
      <c r="B123">
        <v>100</v>
      </c>
      <c r="C123">
        <v>233</v>
      </c>
      <c r="D123" s="2" t="s">
        <v>62</v>
      </c>
      <c r="E123" s="1">
        <v>44492.289437824074</v>
      </c>
      <c r="F123" s="2" t="s">
        <v>63</v>
      </c>
      <c r="G123" s="2" t="s">
        <v>63</v>
      </c>
      <c r="H123" s="2" t="s">
        <v>63</v>
      </c>
      <c r="I123" s="2" t="s">
        <v>63</v>
      </c>
      <c r="J123" s="2" t="s">
        <v>64</v>
      </c>
      <c r="K123" s="2" t="s">
        <v>65</v>
      </c>
      <c r="L123" s="2" t="s">
        <v>66</v>
      </c>
      <c r="M123" s="2" t="s">
        <v>71</v>
      </c>
      <c r="N123" s="2" t="s">
        <v>71</v>
      </c>
      <c r="O123" s="2" t="s">
        <v>67</v>
      </c>
      <c r="P123" s="2" t="s">
        <v>71</v>
      </c>
      <c r="Q123" s="2" t="s">
        <v>71</v>
      </c>
      <c r="R123" s="2" t="s">
        <v>69</v>
      </c>
      <c r="S123">
        <v>2</v>
      </c>
      <c r="T123">
        <v>4</v>
      </c>
      <c r="U123">
        <v>4</v>
      </c>
      <c r="V123">
        <v>3</v>
      </c>
      <c r="W123">
        <v>3</v>
      </c>
      <c r="X123">
        <v>4</v>
      </c>
      <c r="Y123" s="2" t="s">
        <v>69</v>
      </c>
      <c r="Z123">
        <v>3</v>
      </c>
      <c r="AA123">
        <v>4</v>
      </c>
      <c r="AB123">
        <v>3</v>
      </c>
      <c r="AC123">
        <v>3</v>
      </c>
      <c r="AD123">
        <v>3</v>
      </c>
      <c r="AE123">
        <v>4</v>
      </c>
      <c r="AF123" s="10" t="s">
        <v>197</v>
      </c>
      <c r="AG123" s="4"/>
      <c r="AH123" s="8">
        <v>121</v>
      </c>
      <c r="AI123">
        <v>1</v>
      </c>
      <c r="AJ123">
        <v>0</v>
      </c>
      <c r="AK123" s="8" t="s">
        <v>315</v>
      </c>
      <c r="AL123" t="s">
        <v>316</v>
      </c>
      <c r="AM123" t="str">
        <f t="shared" si="29"/>
        <v>Honest</v>
      </c>
      <c r="AN123" s="4"/>
      <c r="AO123">
        <f t="shared" si="16"/>
        <v>1</v>
      </c>
      <c r="AP123">
        <f t="shared" si="17"/>
        <v>2</v>
      </c>
      <c r="AQ123">
        <f t="shared" si="18"/>
        <v>2</v>
      </c>
      <c r="AR123">
        <f t="shared" si="19"/>
        <v>6</v>
      </c>
      <c r="AS123">
        <f t="shared" si="30"/>
        <v>2</v>
      </c>
      <c r="AT123">
        <f t="shared" si="20"/>
        <v>2</v>
      </c>
      <c r="AU123">
        <f t="shared" si="21"/>
        <v>2</v>
      </c>
      <c r="AV123" s="19">
        <f t="shared" si="31"/>
        <v>1.8333333333333333</v>
      </c>
      <c r="AW123" s="4"/>
      <c r="AY123">
        <v>3</v>
      </c>
      <c r="AZ123">
        <v>2</v>
      </c>
      <c r="BA123">
        <v>5</v>
      </c>
      <c r="BB123">
        <v>2</v>
      </c>
      <c r="BC123">
        <v>4</v>
      </c>
      <c r="BD123">
        <v>4</v>
      </c>
      <c r="BE123">
        <f t="shared" si="22"/>
        <v>6</v>
      </c>
      <c r="BF123">
        <f t="shared" si="23"/>
        <v>1</v>
      </c>
      <c r="BG123">
        <f t="shared" si="24"/>
        <v>7</v>
      </c>
      <c r="BI123">
        <v>3</v>
      </c>
      <c r="BJ123">
        <v>2</v>
      </c>
      <c r="BK123">
        <v>5</v>
      </c>
      <c r="BL123">
        <v>2</v>
      </c>
      <c r="BM123">
        <v>4</v>
      </c>
      <c r="BN123">
        <v>4</v>
      </c>
      <c r="BO123">
        <f t="shared" si="25"/>
        <v>6</v>
      </c>
      <c r="BP123">
        <f t="shared" si="26"/>
        <v>0</v>
      </c>
      <c r="BQ123">
        <f t="shared" si="27"/>
        <v>6</v>
      </c>
      <c r="BR123">
        <f t="shared" si="28"/>
        <v>13</v>
      </c>
    </row>
    <row r="124" spans="1:70" ht="60" x14ac:dyDescent="0.25">
      <c r="A124" s="2" t="s">
        <v>33</v>
      </c>
      <c r="B124">
        <v>100</v>
      </c>
      <c r="C124">
        <v>178</v>
      </c>
      <c r="D124" s="2" t="s">
        <v>62</v>
      </c>
      <c r="E124" s="1">
        <v>44492.428384791667</v>
      </c>
      <c r="F124" s="2" t="s">
        <v>63</v>
      </c>
      <c r="G124" s="2" t="s">
        <v>63</v>
      </c>
      <c r="H124" s="2" t="s">
        <v>63</v>
      </c>
      <c r="I124" s="2" t="s">
        <v>63</v>
      </c>
      <c r="J124" s="2" t="s">
        <v>64</v>
      </c>
      <c r="K124" s="2" t="s">
        <v>65</v>
      </c>
      <c r="L124" s="2" t="s">
        <v>74</v>
      </c>
      <c r="M124" s="2" t="s">
        <v>67</v>
      </c>
      <c r="N124" s="2" t="s">
        <v>75</v>
      </c>
      <c r="O124" s="2" t="s">
        <v>74</v>
      </c>
      <c r="P124" s="2" t="s">
        <v>67</v>
      </c>
      <c r="Q124" s="2" t="s">
        <v>67</v>
      </c>
      <c r="R124" s="2" t="s">
        <v>69</v>
      </c>
      <c r="S124">
        <v>3</v>
      </c>
      <c r="T124">
        <v>0</v>
      </c>
      <c r="U124">
        <v>0</v>
      </c>
      <c r="V124">
        <v>5</v>
      </c>
      <c r="W124">
        <v>7</v>
      </c>
      <c r="X124">
        <v>5</v>
      </c>
      <c r="Y124" s="2" t="s">
        <v>68</v>
      </c>
      <c r="Z124">
        <v>6</v>
      </c>
      <c r="AA124">
        <v>0</v>
      </c>
      <c r="AB124">
        <v>0</v>
      </c>
      <c r="AC124">
        <v>5</v>
      </c>
      <c r="AD124">
        <v>4</v>
      </c>
      <c r="AE124">
        <v>5</v>
      </c>
      <c r="AF124" s="10" t="s">
        <v>198</v>
      </c>
      <c r="AG124" s="4"/>
      <c r="AH124" s="8">
        <v>122</v>
      </c>
      <c r="AI124">
        <v>0</v>
      </c>
      <c r="AJ124">
        <v>0</v>
      </c>
      <c r="AK124" s="8" t="s">
        <v>315</v>
      </c>
      <c r="AL124" t="s">
        <v>316</v>
      </c>
      <c r="AM124" t="str">
        <f t="shared" si="29"/>
        <v>Honest</v>
      </c>
      <c r="AN124" s="4"/>
      <c r="AO124">
        <f t="shared" si="16"/>
        <v>3</v>
      </c>
      <c r="AP124">
        <f t="shared" si="17"/>
        <v>6</v>
      </c>
      <c r="AQ124">
        <f t="shared" si="18"/>
        <v>4</v>
      </c>
      <c r="AR124">
        <f t="shared" si="19"/>
        <v>3</v>
      </c>
      <c r="AS124">
        <f t="shared" si="30"/>
        <v>5</v>
      </c>
      <c r="AT124">
        <f t="shared" si="20"/>
        <v>6</v>
      </c>
      <c r="AU124">
        <f t="shared" si="21"/>
        <v>6</v>
      </c>
      <c r="AV124" s="19">
        <f t="shared" si="31"/>
        <v>5</v>
      </c>
      <c r="AW124" s="4"/>
      <c r="AY124">
        <v>6</v>
      </c>
      <c r="AZ124">
        <v>3</v>
      </c>
      <c r="BA124">
        <v>1</v>
      </c>
      <c r="BB124">
        <v>1</v>
      </c>
      <c r="BC124">
        <v>5</v>
      </c>
      <c r="BD124">
        <v>4</v>
      </c>
      <c r="BE124">
        <f t="shared" si="22"/>
        <v>14</v>
      </c>
      <c r="BF124">
        <f t="shared" si="23"/>
        <v>1</v>
      </c>
      <c r="BG124">
        <f t="shared" si="24"/>
        <v>15</v>
      </c>
      <c r="BI124">
        <v>6</v>
      </c>
      <c r="BJ124">
        <v>3</v>
      </c>
      <c r="BK124">
        <v>1</v>
      </c>
      <c r="BL124">
        <v>1</v>
      </c>
      <c r="BM124">
        <v>5</v>
      </c>
      <c r="BN124">
        <v>4</v>
      </c>
      <c r="BO124">
        <f t="shared" si="25"/>
        <v>10</v>
      </c>
      <c r="BP124">
        <f t="shared" si="26"/>
        <v>1</v>
      </c>
      <c r="BQ124">
        <f t="shared" si="27"/>
        <v>11</v>
      </c>
      <c r="BR124">
        <f t="shared" si="28"/>
        <v>26</v>
      </c>
    </row>
    <row r="125" spans="1:70" ht="45" x14ac:dyDescent="0.25">
      <c r="A125" s="2" t="s">
        <v>33</v>
      </c>
      <c r="B125">
        <v>100</v>
      </c>
      <c r="C125">
        <v>123</v>
      </c>
      <c r="D125" s="2" t="s">
        <v>62</v>
      </c>
      <c r="E125" s="1">
        <v>44492.470210196756</v>
      </c>
      <c r="F125" s="2" t="s">
        <v>63</v>
      </c>
      <c r="G125" s="2" t="s">
        <v>63</v>
      </c>
      <c r="H125" s="2" t="s">
        <v>63</v>
      </c>
      <c r="I125" s="2" t="s">
        <v>63</v>
      </c>
      <c r="J125" s="2" t="s">
        <v>64</v>
      </c>
      <c r="K125" s="2" t="s">
        <v>65</v>
      </c>
      <c r="L125" s="2" t="s">
        <v>67</v>
      </c>
      <c r="M125" s="2" t="s">
        <v>81</v>
      </c>
      <c r="N125" s="2" t="s">
        <v>71</v>
      </c>
      <c r="O125" s="2" t="s">
        <v>66</v>
      </c>
      <c r="P125" s="2" t="s">
        <v>74</v>
      </c>
      <c r="Q125" s="2" t="s">
        <v>71</v>
      </c>
      <c r="R125" s="2" t="s">
        <v>72</v>
      </c>
      <c r="S125">
        <v>3</v>
      </c>
      <c r="T125">
        <v>4</v>
      </c>
      <c r="U125">
        <v>5</v>
      </c>
      <c r="V125">
        <v>1</v>
      </c>
      <c r="W125">
        <v>4</v>
      </c>
      <c r="X125">
        <v>3</v>
      </c>
      <c r="Y125" s="2" t="s">
        <v>68</v>
      </c>
      <c r="Z125">
        <v>5</v>
      </c>
      <c r="AA125">
        <v>5</v>
      </c>
      <c r="AB125">
        <v>6</v>
      </c>
      <c r="AC125">
        <v>1</v>
      </c>
      <c r="AD125">
        <v>2</v>
      </c>
      <c r="AE125">
        <v>1</v>
      </c>
      <c r="AF125" s="10" t="s">
        <v>191</v>
      </c>
      <c r="AG125" s="4"/>
      <c r="AH125" s="8">
        <v>123</v>
      </c>
      <c r="AI125">
        <v>0</v>
      </c>
      <c r="AJ125">
        <v>0</v>
      </c>
      <c r="AK125" s="8" t="s">
        <v>317</v>
      </c>
      <c r="AL125" t="s">
        <v>318</v>
      </c>
      <c r="AM125" t="str">
        <f t="shared" si="29"/>
        <v>Honest</v>
      </c>
      <c r="AN125" s="4"/>
      <c r="AO125">
        <f t="shared" si="16"/>
        <v>6</v>
      </c>
      <c r="AP125">
        <f t="shared" si="17"/>
        <v>5</v>
      </c>
      <c r="AQ125">
        <f t="shared" si="18"/>
        <v>2</v>
      </c>
      <c r="AR125">
        <f t="shared" si="19"/>
        <v>1</v>
      </c>
      <c r="AS125">
        <f t="shared" si="30"/>
        <v>7</v>
      </c>
      <c r="AT125">
        <f t="shared" si="20"/>
        <v>3</v>
      </c>
      <c r="AU125">
        <f t="shared" si="21"/>
        <v>2</v>
      </c>
      <c r="AV125" s="19">
        <f t="shared" si="31"/>
        <v>4.166666666666667</v>
      </c>
      <c r="AW125" s="4"/>
      <c r="AY125">
        <v>7</v>
      </c>
      <c r="AZ125">
        <v>4</v>
      </c>
      <c r="BA125">
        <v>1</v>
      </c>
      <c r="BB125">
        <v>2</v>
      </c>
      <c r="BC125">
        <v>3</v>
      </c>
      <c r="BD125">
        <v>3</v>
      </c>
      <c r="BE125">
        <f t="shared" si="22"/>
        <v>10</v>
      </c>
      <c r="BF125">
        <f t="shared" si="23"/>
        <v>0</v>
      </c>
      <c r="BG125">
        <f t="shared" si="24"/>
        <v>10</v>
      </c>
      <c r="BI125">
        <v>7</v>
      </c>
      <c r="BJ125">
        <v>4</v>
      </c>
      <c r="BK125">
        <v>1</v>
      </c>
      <c r="BL125">
        <v>2</v>
      </c>
      <c r="BM125">
        <v>3</v>
      </c>
      <c r="BN125">
        <v>3</v>
      </c>
      <c r="BO125">
        <f t="shared" si="25"/>
        <v>12</v>
      </c>
      <c r="BP125">
        <f t="shared" si="26"/>
        <v>1</v>
      </c>
      <c r="BQ125">
        <f t="shared" si="27"/>
        <v>13</v>
      </c>
      <c r="BR125">
        <f t="shared" si="28"/>
        <v>23</v>
      </c>
    </row>
    <row r="126" spans="1:70" ht="30" x14ac:dyDescent="0.25">
      <c r="A126" s="2" t="s">
        <v>33</v>
      </c>
      <c r="B126">
        <v>100</v>
      </c>
      <c r="C126">
        <v>474</v>
      </c>
      <c r="D126" s="2" t="s">
        <v>62</v>
      </c>
      <c r="E126" s="1">
        <v>44493.207720671293</v>
      </c>
      <c r="F126" s="2" t="s">
        <v>63</v>
      </c>
      <c r="G126" s="2" t="s">
        <v>63</v>
      </c>
      <c r="H126" s="2" t="s">
        <v>63</v>
      </c>
      <c r="I126" s="2" t="s">
        <v>63</v>
      </c>
      <c r="J126" s="2" t="s">
        <v>64</v>
      </c>
      <c r="K126" s="2" t="s">
        <v>65</v>
      </c>
      <c r="L126" s="2" t="s">
        <v>66</v>
      </c>
      <c r="M126" s="2" t="s">
        <v>74</v>
      </c>
      <c r="N126" s="2" t="s">
        <v>66</v>
      </c>
      <c r="O126" s="2" t="s">
        <v>78</v>
      </c>
      <c r="P126" s="2" t="s">
        <v>71</v>
      </c>
      <c r="Q126" s="2" t="s">
        <v>71</v>
      </c>
      <c r="R126" s="2" t="s">
        <v>72</v>
      </c>
      <c r="S126">
        <v>1</v>
      </c>
      <c r="T126">
        <v>4</v>
      </c>
      <c r="U126">
        <v>4</v>
      </c>
      <c r="V126">
        <v>3</v>
      </c>
      <c r="W126">
        <v>4</v>
      </c>
      <c r="X126">
        <v>4</v>
      </c>
      <c r="Y126" s="2" t="s">
        <v>72</v>
      </c>
      <c r="Z126">
        <v>1</v>
      </c>
      <c r="AA126">
        <v>4</v>
      </c>
      <c r="AB126">
        <v>4</v>
      </c>
      <c r="AC126">
        <v>3</v>
      </c>
      <c r="AD126">
        <v>4</v>
      </c>
      <c r="AE126">
        <v>4</v>
      </c>
      <c r="AF126" s="10" t="s">
        <v>199</v>
      </c>
      <c r="AG126" s="4"/>
      <c r="AH126" s="8">
        <v>124</v>
      </c>
      <c r="AI126">
        <v>0</v>
      </c>
      <c r="AJ126">
        <v>12</v>
      </c>
      <c r="AK126" s="8" t="s">
        <v>317</v>
      </c>
      <c r="AL126" t="s">
        <v>320</v>
      </c>
      <c r="AM126" t="str">
        <f t="shared" si="29"/>
        <v>Lie</v>
      </c>
      <c r="AN126" s="4"/>
      <c r="AO126">
        <f t="shared" si="16"/>
        <v>1</v>
      </c>
      <c r="AP126">
        <f t="shared" si="17"/>
        <v>3</v>
      </c>
      <c r="AQ126">
        <f t="shared" si="18"/>
        <v>1</v>
      </c>
      <c r="AR126">
        <f t="shared" si="19"/>
        <v>7</v>
      </c>
      <c r="AS126">
        <f t="shared" si="30"/>
        <v>1</v>
      </c>
      <c r="AT126">
        <f t="shared" si="20"/>
        <v>2</v>
      </c>
      <c r="AU126">
        <f t="shared" si="21"/>
        <v>2</v>
      </c>
      <c r="AV126" s="19">
        <f t="shared" si="31"/>
        <v>1.6666666666666667</v>
      </c>
      <c r="AW126" s="4"/>
      <c r="AY126">
        <v>0</v>
      </c>
      <c r="AZ126">
        <v>5</v>
      </c>
      <c r="BA126">
        <v>4</v>
      </c>
      <c r="BB126">
        <v>3</v>
      </c>
      <c r="BC126">
        <v>4</v>
      </c>
      <c r="BD126">
        <v>4</v>
      </c>
      <c r="BE126">
        <f t="shared" si="22"/>
        <v>2</v>
      </c>
      <c r="BF126">
        <f t="shared" si="23"/>
        <v>0</v>
      </c>
      <c r="BG126">
        <f t="shared" si="24"/>
        <v>2</v>
      </c>
      <c r="BI126">
        <v>2</v>
      </c>
      <c r="BJ126">
        <v>7</v>
      </c>
      <c r="BK126">
        <v>1</v>
      </c>
      <c r="BL126">
        <v>1</v>
      </c>
      <c r="BM126">
        <v>5</v>
      </c>
      <c r="BN126">
        <v>4</v>
      </c>
      <c r="BO126">
        <f t="shared" si="25"/>
        <v>10</v>
      </c>
      <c r="BP126">
        <f t="shared" si="26"/>
        <v>1</v>
      </c>
      <c r="BQ126">
        <f t="shared" si="27"/>
        <v>11</v>
      </c>
      <c r="BR126">
        <f t="shared" si="28"/>
        <v>13</v>
      </c>
    </row>
    <row r="127" spans="1:70" ht="30" x14ac:dyDescent="0.25">
      <c r="A127" s="2" t="s">
        <v>33</v>
      </c>
      <c r="B127">
        <v>100</v>
      </c>
      <c r="C127">
        <v>499</v>
      </c>
      <c r="D127" s="2" t="s">
        <v>62</v>
      </c>
      <c r="E127" s="1">
        <v>44493.379271423611</v>
      </c>
      <c r="F127" s="2" t="s">
        <v>63</v>
      </c>
      <c r="G127" s="2" t="s">
        <v>63</v>
      </c>
      <c r="H127" s="2" t="s">
        <v>63</v>
      </c>
      <c r="I127" s="2" t="s">
        <v>63</v>
      </c>
      <c r="J127" s="2" t="s">
        <v>64</v>
      </c>
      <c r="K127" s="2" t="s">
        <v>65</v>
      </c>
      <c r="L127" s="2" t="s">
        <v>71</v>
      </c>
      <c r="M127" s="2" t="s">
        <v>74</v>
      </c>
      <c r="N127" s="2" t="s">
        <v>71</v>
      </c>
      <c r="O127" s="2" t="s">
        <v>67</v>
      </c>
      <c r="P127" s="2" t="s">
        <v>74</v>
      </c>
      <c r="Q127" s="2" t="s">
        <v>71</v>
      </c>
      <c r="R127" s="2" t="s">
        <v>69</v>
      </c>
      <c r="S127">
        <v>2</v>
      </c>
      <c r="T127">
        <v>3</v>
      </c>
      <c r="U127">
        <v>2</v>
      </c>
      <c r="V127">
        <v>7</v>
      </c>
      <c r="W127">
        <v>4</v>
      </c>
      <c r="X127">
        <v>2</v>
      </c>
      <c r="Y127" s="2" t="s">
        <v>69</v>
      </c>
      <c r="Z127">
        <v>3</v>
      </c>
      <c r="AA127">
        <v>4</v>
      </c>
      <c r="AB127">
        <v>1</v>
      </c>
      <c r="AC127">
        <v>7</v>
      </c>
      <c r="AD127">
        <v>2</v>
      </c>
      <c r="AE127">
        <v>3</v>
      </c>
      <c r="AF127" s="10" t="s">
        <v>200</v>
      </c>
      <c r="AG127" s="4"/>
      <c r="AH127" s="8">
        <v>125</v>
      </c>
      <c r="AI127">
        <v>0</v>
      </c>
      <c r="AJ127">
        <v>2</v>
      </c>
      <c r="AK127" s="8" t="s">
        <v>315</v>
      </c>
      <c r="AL127" t="s">
        <v>319</v>
      </c>
      <c r="AM127" t="str">
        <f t="shared" si="29"/>
        <v>Lie</v>
      </c>
      <c r="AN127" s="4"/>
      <c r="AO127">
        <f t="shared" si="16"/>
        <v>2</v>
      </c>
      <c r="AP127">
        <f t="shared" si="17"/>
        <v>3</v>
      </c>
      <c r="AQ127">
        <f t="shared" si="18"/>
        <v>2</v>
      </c>
      <c r="AR127">
        <f t="shared" si="19"/>
        <v>6</v>
      </c>
      <c r="AS127">
        <f t="shared" si="30"/>
        <v>2</v>
      </c>
      <c r="AT127">
        <f t="shared" si="20"/>
        <v>3</v>
      </c>
      <c r="AU127">
        <f t="shared" si="21"/>
        <v>2</v>
      </c>
      <c r="AV127" s="19">
        <f t="shared" si="31"/>
        <v>2.3333333333333335</v>
      </c>
      <c r="AW127" s="4"/>
      <c r="AY127">
        <v>4</v>
      </c>
      <c r="AZ127">
        <v>6</v>
      </c>
      <c r="BA127">
        <v>1</v>
      </c>
      <c r="BB127">
        <v>4</v>
      </c>
      <c r="BC127">
        <v>4</v>
      </c>
      <c r="BD127">
        <v>1</v>
      </c>
      <c r="BE127">
        <f t="shared" si="22"/>
        <v>10</v>
      </c>
      <c r="BF127">
        <f t="shared" si="23"/>
        <v>1</v>
      </c>
      <c r="BG127">
        <f t="shared" si="24"/>
        <v>11</v>
      </c>
      <c r="BI127">
        <v>4</v>
      </c>
      <c r="BJ127">
        <v>6</v>
      </c>
      <c r="BK127">
        <v>1</v>
      </c>
      <c r="BL127">
        <v>3</v>
      </c>
      <c r="BM127">
        <v>6</v>
      </c>
      <c r="BN127">
        <v>0</v>
      </c>
      <c r="BO127">
        <f t="shared" si="25"/>
        <v>14</v>
      </c>
      <c r="BP127">
        <f t="shared" si="26"/>
        <v>0</v>
      </c>
      <c r="BQ127">
        <f t="shared" si="27"/>
        <v>14</v>
      </c>
      <c r="BR127">
        <f t="shared" si="28"/>
        <v>25</v>
      </c>
    </row>
    <row r="128" spans="1:70" ht="60" x14ac:dyDescent="0.25">
      <c r="A128" s="2" t="s">
        <v>33</v>
      </c>
      <c r="B128">
        <v>100</v>
      </c>
      <c r="C128">
        <v>227</v>
      </c>
      <c r="D128" s="2" t="s">
        <v>62</v>
      </c>
      <c r="E128" s="1">
        <v>44493.471577905089</v>
      </c>
      <c r="F128" s="2" t="s">
        <v>63</v>
      </c>
      <c r="G128" s="2" t="s">
        <v>63</v>
      </c>
      <c r="H128" s="2" t="s">
        <v>63</v>
      </c>
      <c r="I128" s="2" t="s">
        <v>63</v>
      </c>
      <c r="J128" s="2" t="s">
        <v>64</v>
      </c>
      <c r="K128" s="2" t="s">
        <v>65</v>
      </c>
      <c r="L128" s="2" t="s">
        <v>66</v>
      </c>
      <c r="M128" s="2" t="s">
        <v>75</v>
      </c>
      <c r="N128" s="2" t="s">
        <v>71</v>
      </c>
      <c r="O128" s="2" t="s">
        <v>67</v>
      </c>
      <c r="P128" s="2" t="s">
        <v>74</v>
      </c>
      <c r="Q128" s="2" t="s">
        <v>71</v>
      </c>
      <c r="R128" s="2" t="s">
        <v>69</v>
      </c>
      <c r="S128">
        <v>4</v>
      </c>
      <c r="T128">
        <v>5</v>
      </c>
      <c r="U128">
        <v>3</v>
      </c>
      <c r="V128">
        <v>3</v>
      </c>
      <c r="W128">
        <v>4</v>
      </c>
      <c r="X128">
        <v>1</v>
      </c>
      <c r="Y128" s="2" t="s">
        <v>69</v>
      </c>
      <c r="Z128">
        <v>3</v>
      </c>
      <c r="AA128">
        <v>5</v>
      </c>
      <c r="AB128">
        <v>4</v>
      </c>
      <c r="AC128">
        <v>3</v>
      </c>
      <c r="AD128">
        <v>4</v>
      </c>
      <c r="AE128">
        <v>1</v>
      </c>
      <c r="AF128" s="10" t="s">
        <v>201</v>
      </c>
      <c r="AG128" s="4"/>
      <c r="AH128" s="8">
        <v>126</v>
      </c>
      <c r="AI128">
        <v>0</v>
      </c>
      <c r="AJ128">
        <v>5</v>
      </c>
      <c r="AK128" s="8" t="s">
        <v>317</v>
      </c>
      <c r="AL128" t="s">
        <v>320</v>
      </c>
      <c r="AM128" t="str">
        <f t="shared" si="29"/>
        <v>Lie</v>
      </c>
      <c r="AN128" s="4"/>
      <c r="AO128">
        <f t="shared" si="16"/>
        <v>1</v>
      </c>
      <c r="AP128">
        <f t="shared" si="17"/>
        <v>4</v>
      </c>
      <c r="AQ128">
        <f t="shared" si="18"/>
        <v>2</v>
      </c>
      <c r="AR128">
        <f t="shared" si="19"/>
        <v>6</v>
      </c>
      <c r="AS128">
        <f t="shared" si="30"/>
        <v>2</v>
      </c>
      <c r="AT128">
        <f t="shared" si="20"/>
        <v>3</v>
      </c>
      <c r="AU128">
        <f t="shared" si="21"/>
        <v>2</v>
      </c>
      <c r="AV128" s="19">
        <f t="shared" si="31"/>
        <v>2.3333333333333335</v>
      </c>
      <c r="AW128" s="4"/>
      <c r="AY128">
        <v>2</v>
      </c>
      <c r="AZ128">
        <v>4</v>
      </c>
      <c r="BA128">
        <v>3</v>
      </c>
      <c r="BB128">
        <v>4</v>
      </c>
      <c r="BC128">
        <v>3</v>
      </c>
      <c r="BD128">
        <v>4</v>
      </c>
      <c r="BE128">
        <f t="shared" si="22"/>
        <v>8</v>
      </c>
      <c r="BF128">
        <f t="shared" si="23"/>
        <v>1</v>
      </c>
      <c r="BG128">
        <f t="shared" si="24"/>
        <v>9</v>
      </c>
      <c r="BI128">
        <v>3</v>
      </c>
      <c r="BJ128">
        <v>5</v>
      </c>
      <c r="BK128">
        <v>3</v>
      </c>
      <c r="BL128">
        <v>4</v>
      </c>
      <c r="BM128">
        <v>3</v>
      </c>
      <c r="BN128">
        <v>2</v>
      </c>
      <c r="BO128">
        <f t="shared" si="25"/>
        <v>4</v>
      </c>
      <c r="BP128">
        <f t="shared" si="26"/>
        <v>0</v>
      </c>
      <c r="BQ128">
        <f t="shared" si="27"/>
        <v>4</v>
      </c>
      <c r="BR128">
        <f t="shared" si="28"/>
        <v>13</v>
      </c>
    </row>
    <row r="129" spans="1:70" ht="30" x14ac:dyDescent="0.25">
      <c r="A129" s="2" t="s">
        <v>33</v>
      </c>
      <c r="B129">
        <v>100</v>
      </c>
      <c r="C129">
        <v>326</v>
      </c>
      <c r="D129" s="2" t="s">
        <v>62</v>
      </c>
      <c r="E129" s="1">
        <v>44494.349565439814</v>
      </c>
      <c r="F129" s="2" t="s">
        <v>63</v>
      </c>
      <c r="G129" s="2" t="s">
        <v>63</v>
      </c>
      <c r="H129" s="2" t="s">
        <v>63</v>
      </c>
      <c r="I129" s="2" t="s">
        <v>63</v>
      </c>
      <c r="J129" s="2" t="s">
        <v>64</v>
      </c>
      <c r="K129" s="2" t="s">
        <v>65</v>
      </c>
      <c r="L129" s="2" t="s">
        <v>66</v>
      </c>
      <c r="M129" s="2" t="s">
        <v>67</v>
      </c>
      <c r="N129" s="2" t="s">
        <v>71</v>
      </c>
      <c r="O129" s="2" t="s">
        <v>67</v>
      </c>
      <c r="P129" s="2" t="s">
        <v>67</v>
      </c>
      <c r="Q129" s="2" t="s">
        <v>67</v>
      </c>
      <c r="R129" s="2" t="s">
        <v>72</v>
      </c>
      <c r="S129">
        <v>5</v>
      </c>
      <c r="T129">
        <v>0</v>
      </c>
      <c r="U129">
        <v>0</v>
      </c>
      <c r="V129">
        <v>5</v>
      </c>
      <c r="W129">
        <v>5</v>
      </c>
      <c r="X129">
        <v>5</v>
      </c>
      <c r="Y129" s="2" t="s">
        <v>69</v>
      </c>
      <c r="Z129">
        <v>1</v>
      </c>
      <c r="AA129">
        <v>2</v>
      </c>
      <c r="AB129">
        <v>3</v>
      </c>
      <c r="AC129">
        <v>4</v>
      </c>
      <c r="AD129">
        <v>5</v>
      </c>
      <c r="AE129">
        <v>5</v>
      </c>
      <c r="AF129" s="10" t="s">
        <v>202</v>
      </c>
      <c r="AG129" s="4"/>
      <c r="AH129" s="8">
        <v>127</v>
      </c>
      <c r="AI129">
        <v>0</v>
      </c>
      <c r="AJ129">
        <v>0</v>
      </c>
      <c r="AK129" s="8" t="s">
        <v>317</v>
      </c>
      <c r="AL129" t="s">
        <v>318</v>
      </c>
      <c r="AM129" t="str">
        <f t="shared" si="29"/>
        <v>Honest</v>
      </c>
      <c r="AN129" s="4"/>
      <c r="AO129">
        <f t="shared" si="16"/>
        <v>1</v>
      </c>
      <c r="AP129">
        <f t="shared" si="17"/>
        <v>6</v>
      </c>
      <c r="AQ129">
        <f t="shared" si="18"/>
        <v>2</v>
      </c>
      <c r="AR129">
        <f t="shared" si="19"/>
        <v>6</v>
      </c>
      <c r="AS129">
        <f t="shared" si="30"/>
        <v>2</v>
      </c>
      <c r="AT129">
        <f t="shared" si="20"/>
        <v>6</v>
      </c>
      <c r="AU129">
        <f t="shared" si="21"/>
        <v>6</v>
      </c>
      <c r="AV129" s="19">
        <f t="shared" si="31"/>
        <v>3.8333333333333335</v>
      </c>
      <c r="AW129" s="4"/>
      <c r="AY129">
        <v>2</v>
      </c>
      <c r="AZ129">
        <v>5</v>
      </c>
      <c r="BA129">
        <v>3</v>
      </c>
      <c r="BB129">
        <v>4</v>
      </c>
      <c r="BC129">
        <v>3</v>
      </c>
      <c r="BD129">
        <v>3</v>
      </c>
      <c r="BE129">
        <f t="shared" si="22"/>
        <v>16</v>
      </c>
      <c r="BF129">
        <f t="shared" si="23"/>
        <v>0</v>
      </c>
      <c r="BG129">
        <f t="shared" si="24"/>
        <v>16</v>
      </c>
      <c r="BI129">
        <v>2</v>
      </c>
      <c r="BJ129">
        <v>5</v>
      </c>
      <c r="BK129">
        <v>3</v>
      </c>
      <c r="BL129">
        <v>4</v>
      </c>
      <c r="BM129">
        <v>3</v>
      </c>
      <c r="BN129">
        <v>3</v>
      </c>
      <c r="BO129">
        <f t="shared" si="25"/>
        <v>8</v>
      </c>
      <c r="BP129">
        <f t="shared" si="26"/>
        <v>0</v>
      </c>
      <c r="BQ129">
        <f t="shared" si="27"/>
        <v>8</v>
      </c>
      <c r="BR129">
        <f t="shared" si="28"/>
        <v>24</v>
      </c>
    </row>
    <row r="130" spans="1:70" ht="30" x14ac:dyDescent="0.25">
      <c r="A130" s="2" t="s">
        <v>33</v>
      </c>
      <c r="B130">
        <v>100</v>
      </c>
      <c r="C130">
        <v>326</v>
      </c>
      <c r="D130" s="2" t="s">
        <v>62</v>
      </c>
      <c r="E130" s="1">
        <v>44494.665646331021</v>
      </c>
      <c r="F130" s="2" t="s">
        <v>63</v>
      </c>
      <c r="G130" s="2" t="s">
        <v>63</v>
      </c>
      <c r="H130" s="2" t="s">
        <v>63</v>
      </c>
      <c r="I130" s="2" t="s">
        <v>63</v>
      </c>
      <c r="J130" s="2" t="s">
        <v>64</v>
      </c>
      <c r="K130" s="2" t="s">
        <v>65</v>
      </c>
      <c r="L130" s="2" t="s">
        <v>71</v>
      </c>
      <c r="M130" s="2" t="s">
        <v>71</v>
      </c>
      <c r="N130" s="2" t="s">
        <v>71</v>
      </c>
      <c r="O130" s="2" t="s">
        <v>67</v>
      </c>
      <c r="P130" s="2" t="s">
        <v>74</v>
      </c>
      <c r="Q130" s="2" t="s">
        <v>66</v>
      </c>
      <c r="R130" s="2" t="s">
        <v>72</v>
      </c>
      <c r="S130">
        <v>3</v>
      </c>
      <c r="T130">
        <v>3</v>
      </c>
      <c r="U130">
        <v>4</v>
      </c>
      <c r="V130">
        <v>3</v>
      </c>
      <c r="W130">
        <v>4</v>
      </c>
      <c r="X130">
        <v>3</v>
      </c>
      <c r="Y130" s="2" t="s">
        <v>68</v>
      </c>
      <c r="Z130">
        <v>3</v>
      </c>
      <c r="AA130">
        <v>3</v>
      </c>
      <c r="AB130">
        <v>4</v>
      </c>
      <c r="AC130">
        <v>3</v>
      </c>
      <c r="AD130">
        <v>4</v>
      </c>
      <c r="AE130">
        <v>3</v>
      </c>
      <c r="AF130" s="10" t="s">
        <v>203</v>
      </c>
      <c r="AG130" s="4"/>
      <c r="AH130" s="8">
        <v>128</v>
      </c>
      <c r="AI130">
        <v>0</v>
      </c>
      <c r="AJ130">
        <v>0</v>
      </c>
      <c r="AK130" s="8" t="s">
        <v>315</v>
      </c>
      <c r="AL130" t="s">
        <v>316</v>
      </c>
      <c r="AM130" t="str">
        <f t="shared" si="29"/>
        <v>Honest</v>
      </c>
      <c r="AN130" s="4"/>
      <c r="AO130">
        <f t="shared" si="16"/>
        <v>2</v>
      </c>
      <c r="AP130">
        <f t="shared" si="17"/>
        <v>2</v>
      </c>
      <c r="AQ130">
        <f t="shared" si="18"/>
        <v>2</v>
      </c>
      <c r="AR130">
        <f t="shared" si="19"/>
        <v>6</v>
      </c>
      <c r="AS130">
        <f t="shared" si="30"/>
        <v>2</v>
      </c>
      <c r="AT130">
        <f t="shared" si="20"/>
        <v>3</v>
      </c>
      <c r="AU130">
        <f t="shared" si="21"/>
        <v>1</v>
      </c>
      <c r="AV130" s="19">
        <f t="shared" si="31"/>
        <v>2</v>
      </c>
      <c r="AW130" s="4"/>
      <c r="AY130">
        <v>2</v>
      </c>
      <c r="AZ130">
        <v>7</v>
      </c>
      <c r="BA130">
        <v>4</v>
      </c>
      <c r="BB130">
        <v>4</v>
      </c>
      <c r="BC130">
        <v>2</v>
      </c>
      <c r="BD130">
        <v>1</v>
      </c>
      <c r="BE130">
        <f t="shared" si="22"/>
        <v>10</v>
      </c>
      <c r="BF130">
        <f t="shared" si="23"/>
        <v>0</v>
      </c>
      <c r="BG130">
        <f t="shared" si="24"/>
        <v>10</v>
      </c>
      <c r="BI130">
        <v>2</v>
      </c>
      <c r="BJ130">
        <v>7</v>
      </c>
      <c r="BK130">
        <v>4</v>
      </c>
      <c r="BL130">
        <v>4</v>
      </c>
      <c r="BM130">
        <v>2</v>
      </c>
      <c r="BN130">
        <v>1</v>
      </c>
      <c r="BO130">
        <f t="shared" si="25"/>
        <v>10</v>
      </c>
      <c r="BP130">
        <f t="shared" si="26"/>
        <v>1</v>
      </c>
      <c r="BQ130">
        <f t="shared" si="27"/>
        <v>11</v>
      </c>
      <c r="BR130">
        <f t="shared" si="28"/>
        <v>21</v>
      </c>
    </row>
    <row r="131" spans="1:70" ht="30" x14ac:dyDescent="0.25">
      <c r="A131" s="2" t="s">
        <v>33</v>
      </c>
      <c r="B131">
        <v>100</v>
      </c>
      <c r="C131">
        <v>216</v>
      </c>
      <c r="D131" s="2" t="s">
        <v>62</v>
      </c>
      <c r="E131" s="1">
        <v>44495.142506504628</v>
      </c>
      <c r="F131" s="2" t="s">
        <v>63</v>
      </c>
      <c r="G131" s="2" t="s">
        <v>63</v>
      </c>
      <c r="H131" s="2" t="s">
        <v>63</v>
      </c>
      <c r="I131" s="2" t="s">
        <v>63</v>
      </c>
      <c r="J131" s="2" t="s">
        <v>64</v>
      </c>
      <c r="K131" s="2" t="s">
        <v>65</v>
      </c>
      <c r="L131" s="2" t="s">
        <v>66</v>
      </c>
      <c r="M131" s="2" t="s">
        <v>71</v>
      </c>
      <c r="N131" s="2" t="s">
        <v>71</v>
      </c>
      <c r="O131" s="2" t="s">
        <v>67</v>
      </c>
      <c r="P131" s="2" t="s">
        <v>71</v>
      </c>
      <c r="Q131" s="2" t="s">
        <v>71</v>
      </c>
      <c r="R131" s="2" t="s">
        <v>72</v>
      </c>
      <c r="S131">
        <v>3</v>
      </c>
      <c r="T131">
        <v>4</v>
      </c>
      <c r="U131">
        <v>0</v>
      </c>
      <c r="V131">
        <v>5</v>
      </c>
      <c r="W131">
        <v>5</v>
      </c>
      <c r="X131">
        <v>3</v>
      </c>
      <c r="Y131" s="2" t="s">
        <v>69</v>
      </c>
      <c r="Z131">
        <v>3</v>
      </c>
      <c r="AA131">
        <v>4</v>
      </c>
      <c r="AB131">
        <v>0</v>
      </c>
      <c r="AC131">
        <v>5</v>
      </c>
      <c r="AD131">
        <v>5</v>
      </c>
      <c r="AE131">
        <v>3</v>
      </c>
      <c r="AF131" s="10" t="s">
        <v>204</v>
      </c>
      <c r="AG131" s="4"/>
      <c r="AH131" s="8">
        <v>129</v>
      </c>
      <c r="AI131">
        <v>6</v>
      </c>
      <c r="AJ131">
        <v>0</v>
      </c>
      <c r="AK131" s="8" t="s">
        <v>317</v>
      </c>
      <c r="AL131" t="s">
        <v>318</v>
      </c>
      <c r="AM131" t="str">
        <f t="shared" si="29"/>
        <v>Honest</v>
      </c>
      <c r="AN131" s="4"/>
      <c r="AO131">
        <f t="shared" ref="AO131:AO194" si="32">IF(L131="Strongly agree",1,IF(L131="Agree",2,IF(L131="Somewhat agree",3,IF(L131="Neither agree nor disagree",4,IF(L131="Somewhat disagree",5,IF(L131="Disagree",6, IF(L131="Strongly disagree",7,"ERROR")))))))</f>
        <v>1</v>
      </c>
      <c r="AP131">
        <f t="shared" ref="AP131:AP194" si="33">IF(M131="Strongly agree",1,IF(M131="Agree",2,IF(M131="Somewhat agree",3,IF(M131="Neither agree nor disagree",4,IF(M131="Somewhat disagree",5,IF(M131="Disagree",6, IF(M131="Strongly disagree",7,"ERROR")))))))</f>
        <v>2</v>
      </c>
      <c r="AQ131">
        <f t="shared" ref="AQ131:AQ194" si="34">IF(N131="Strongly agree",1,IF(N131="Agree",2,IF(N131="Somewhat agree",3,IF(N131="Neither agree nor disagree",4,IF(N131="Somewhat disagree",5,IF(N131="Disagree",6, IF(N131="Strongly disagree",7,"ERROR")))))))</f>
        <v>2</v>
      </c>
      <c r="AR131">
        <f t="shared" ref="AR131:AR194" si="35">IF(O131="Strongly agree",1,IF(O131="Agree",2,IF(O131="Somewhat agree",3,IF(O131="Neither agree nor disagree",4,IF(O131="Somewhat disagree",5,IF(O131="Disagree",6, IF(O131="Strongly disagree",7,"ERROR")))))))</f>
        <v>6</v>
      </c>
      <c r="AS131">
        <f t="shared" si="30"/>
        <v>2</v>
      </c>
      <c r="AT131">
        <f t="shared" ref="AT131:AT194" si="36">IF(P131="Strongly agree",1,IF(P131="Agree",2,IF(P131="Somewhat agree",3,IF(P131="Neither agree nor disagree",4,IF(P131="Somewhat disagree",5,IF(P131="Disagree",6, IF(P131="Strongly disagree",7,"ERROR")))))))</f>
        <v>2</v>
      </c>
      <c r="AU131">
        <f t="shared" ref="AU131:AU194" si="37">IF(Q131="Strongly agree",1,IF(Q131="Agree",2,IF(Q131="Somewhat agree",3,IF(Q131="Neither agree nor disagree",4,IF(Q131="Somewhat disagree",5,IF(Q131="Disagree",6, IF(Q131="Strongly disagree",7,"ERROR")))))))</f>
        <v>2</v>
      </c>
      <c r="AV131" s="19">
        <f t="shared" si="31"/>
        <v>1.8333333333333333</v>
      </c>
      <c r="AW131" s="4"/>
      <c r="AY131">
        <v>2</v>
      </c>
      <c r="AZ131">
        <v>2</v>
      </c>
      <c r="BA131">
        <v>2</v>
      </c>
      <c r="BB131">
        <v>7</v>
      </c>
      <c r="BC131">
        <v>5</v>
      </c>
      <c r="BD131">
        <v>2</v>
      </c>
      <c r="BE131">
        <f t="shared" ref="BE131:BE194" si="38">SUM(ABS(AY131-S131),ABS(AZ131-T131),ABS(BA131-U131),ABS(BB131-V131),ABS(BC131-W131),ABS(BD131-X131))</f>
        <v>8</v>
      </c>
      <c r="BF131">
        <f t="shared" ref="BF131:BF194" si="39">IF(R131="White",0,1)</f>
        <v>0</v>
      </c>
      <c r="BG131">
        <f t="shared" ref="BG131:BG194" si="40">SUM(BE131:BF131)</f>
        <v>8</v>
      </c>
      <c r="BI131">
        <v>2</v>
      </c>
      <c r="BJ131">
        <v>2</v>
      </c>
      <c r="BK131">
        <v>2</v>
      </c>
      <c r="BL131">
        <v>7</v>
      </c>
      <c r="BM131">
        <v>5</v>
      </c>
      <c r="BN131">
        <v>2</v>
      </c>
      <c r="BO131">
        <f t="shared" ref="BO131:BO194" si="41">SUM(ABS(BI131-Z131),ABS(BJ131-AA131),ABS(BK131-AB131),ABS(BL131-AC131),ABS(BM131-AD131),ABS(BN131-AE131))</f>
        <v>8</v>
      </c>
      <c r="BP131">
        <f t="shared" ref="BP131:BP194" si="42">IF(Y131="Black",0,1)</f>
        <v>0</v>
      </c>
      <c r="BQ131">
        <f t="shared" ref="BQ131:BQ194" si="43">SUM(BO131:BP131)</f>
        <v>8</v>
      </c>
      <c r="BR131">
        <f t="shared" ref="BR131:BR194" si="44">SUM(BG131,BQ131)</f>
        <v>16</v>
      </c>
    </row>
    <row r="132" spans="1:70" ht="45" x14ac:dyDescent="0.25">
      <c r="A132" s="2" t="s">
        <v>33</v>
      </c>
      <c r="B132">
        <v>100</v>
      </c>
      <c r="C132">
        <v>364</v>
      </c>
      <c r="D132" s="2" t="s">
        <v>62</v>
      </c>
      <c r="E132" s="1">
        <v>44495.799001574072</v>
      </c>
      <c r="F132" s="2" t="s">
        <v>63</v>
      </c>
      <c r="G132" s="2" t="s">
        <v>63</v>
      </c>
      <c r="H132" s="2" t="s">
        <v>63</v>
      </c>
      <c r="I132" s="2" t="s">
        <v>63</v>
      </c>
      <c r="J132" s="2" t="s">
        <v>64</v>
      </c>
      <c r="K132" s="2" t="s">
        <v>65</v>
      </c>
      <c r="L132" s="2" t="s">
        <v>71</v>
      </c>
      <c r="M132" s="2" t="s">
        <v>74</v>
      </c>
      <c r="N132" s="2" t="s">
        <v>71</v>
      </c>
      <c r="O132" s="2" t="s">
        <v>74</v>
      </c>
      <c r="P132" s="2" t="s">
        <v>81</v>
      </c>
      <c r="Q132" s="2" t="s">
        <v>67</v>
      </c>
      <c r="R132" s="2" t="s">
        <v>72</v>
      </c>
      <c r="S132">
        <v>4</v>
      </c>
      <c r="T132">
        <v>4</v>
      </c>
      <c r="U132">
        <v>2</v>
      </c>
      <c r="V132">
        <v>4</v>
      </c>
      <c r="W132">
        <v>2</v>
      </c>
      <c r="X132">
        <v>4</v>
      </c>
      <c r="Y132" s="2" t="s">
        <v>72</v>
      </c>
      <c r="Z132">
        <v>4</v>
      </c>
      <c r="AA132">
        <v>4</v>
      </c>
      <c r="AB132">
        <v>2</v>
      </c>
      <c r="AC132">
        <v>4</v>
      </c>
      <c r="AD132">
        <v>2</v>
      </c>
      <c r="AE132">
        <v>4</v>
      </c>
      <c r="AF132" s="10" t="s">
        <v>205</v>
      </c>
      <c r="AG132" s="4"/>
      <c r="AH132" s="8">
        <v>130</v>
      </c>
      <c r="AI132">
        <v>0</v>
      </c>
      <c r="AJ132">
        <v>0</v>
      </c>
      <c r="AK132" s="8" t="s">
        <v>315</v>
      </c>
      <c r="AL132" t="s">
        <v>316</v>
      </c>
      <c r="AM132" t="str">
        <f t="shared" ref="AM132:AM195" si="45">IF(AL132="Honest unLikely-cheat","Honest",IF(AL132="Honest Likely-cheat","Honest","Lie"))</f>
        <v>Honest</v>
      </c>
      <c r="AN132" s="4"/>
      <c r="AO132">
        <f t="shared" si="32"/>
        <v>2</v>
      </c>
      <c r="AP132">
        <f t="shared" si="33"/>
        <v>3</v>
      </c>
      <c r="AQ132">
        <f t="shared" si="34"/>
        <v>2</v>
      </c>
      <c r="AR132">
        <f t="shared" si="35"/>
        <v>3</v>
      </c>
      <c r="AS132">
        <f t="shared" ref="AS132:AS195" si="46">8-AR132</f>
        <v>5</v>
      </c>
      <c r="AT132">
        <f t="shared" si="36"/>
        <v>5</v>
      </c>
      <c r="AU132">
        <f t="shared" si="37"/>
        <v>6</v>
      </c>
      <c r="AV132" s="19">
        <f t="shared" ref="AV132:AV195" si="47">AVERAGE(AO132:AQ132,AS132,AT132,AU132)</f>
        <v>3.8333333333333335</v>
      </c>
      <c r="AW132" s="4"/>
      <c r="AY132">
        <v>4</v>
      </c>
      <c r="AZ132">
        <v>3</v>
      </c>
      <c r="BA132">
        <v>5</v>
      </c>
      <c r="BB132">
        <v>2</v>
      </c>
      <c r="BC132">
        <v>2</v>
      </c>
      <c r="BD132">
        <v>4</v>
      </c>
      <c r="BE132">
        <f t="shared" si="38"/>
        <v>6</v>
      </c>
      <c r="BF132">
        <f t="shared" si="39"/>
        <v>0</v>
      </c>
      <c r="BG132">
        <f t="shared" si="40"/>
        <v>6</v>
      </c>
      <c r="BI132">
        <v>4</v>
      </c>
      <c r="BJ132">
        <v>3</v>
      </c>
      <c r="BK132">
        <v>5</v>
      </c>
      <c r="BL132">
        <v>2</v>
      </c>
      <c r="BM132">
        <v>2</v>
      </c>
      <c r="BN132">
        <v>4</v>
      </c>
      <c r="BO132">
        <f t="shared" si="41"/>
        <v>6</v>
      </c>
      <c r="BP132">
        <f t="shared" si="42"/>
        <v>1</v>
      </c>
      <c r="BQ132">
        <f t="shared" si="43"/>
        <v>7</v>
      </c>
      <c r="BR132">
        <f t="shared" si="44"/>
        <v>13</v>
      </c>
    </row>
    <row r="133" spans="1:70" ht="60" x14ac:dyDescent="0.25">
      <c r="A133" s="2" t="s">
        <v>33</v>
      </c>
      <c r="B133">
        <v>100</v>
      </c>
      <c r="C133">
        <v>651</v>
      </c>
      <c r="D133" s="2" t="s">
        <v>62</v>
      </c>
      <c r="E133" s="1">
        <v>44496.130325439815</v>
      </c>
      <c r="F133" s="2" t="s">
        <v>63</v>
      </c>
      <c r="G133" s="2" t="s">
        <v>63</v>
      </c>
      <c r="H133" s="2" t="s">
        <v>63</v>
      </c>
      <c r="I133" s="2" t="s">
        <v>63</v>
      </c>
      <c r="J133" s="2" t="s">
        <v>64</v>
      </c>
      <c r="K133" s="2" t="s">
        <v>65</v>
      </c>
      <c r="L133" s="2" t="s">
        <v>71</v>
      </c>
      <c r="M133" s="2" t="s">
        <v>74</v>
      </c>
      <c r="N133" s="2" t="s">
        <v>66</v>
      </c>
      <c r="O133" s="2" t="s">
        <v>75</v>
      </c>
      <c r="P133" s="2" t="s">
        <v>74</v>
      </c>
      <c r="Q133" s="2" t="s">
        <v>74</v>
      </c>
      <c r="R133" s="2" t="s">
        <v>72</v>
      </c>
      <c r="S133">
        <v>1</v>
      </c>
      <c r="T133">
        <v>4</v>
      </c>
      <c r="U133">
        <v>2</v>
      </c>
      <c r="V133">
        <v>5</v>
      </c>
      <c r="W133">
        <v>4</v>
      </c>
      <c r="X133">
        <v>4</v>
      </c>
      <c r="Y133" s="2" t="s">
        <v>69</v>
      </c>
      <c r="Z133">
        <v>2</v>
      </c>
      <c r="AA133">
        <v>3</v>
      </c>
      <c r="AB133">
        <v>2</v>
      </c>
      <c r="AC133">
        <v>5</v>
      </c>
      <c r="AD133">
        <v>5</v>
      </c>
      <c r="AE133">
        <v>3</v>
      </c>
      <c r="AF133" s="10" t="s">
        <v>206</v>
      </c>
      <c r="AG133" s="4"/>
      <c r="AH133" s="8">
        <v>131</v>
      </c>
      <c r="AI133">
        <v>1</v>
      </c>
      <c r="AJ133">
        <v>1</v>
      </c>
      <c r="AK133" s="8" t="s">
        <v>315</v>
      </c>
      <c r="AL133" t="s">
        <v>319</v>
      </c>
      <c r="AM133" t="str">
        <f t="shared" si="45"/>
        <v>Lie</v>
      </c>
      <c r="AN133" s="4"/>
      <c r="AO133">
        <f t="shared" si="32"/>
        <v>2</v>
      </c>
      <c r="AP133">
        <f t="shared" si="33"/>
        <v>3</v>
      </c>
      <c r="AQ133">
        <f t="shared" si="34"/>
        <v>1</v>
      </c>
      <c r="AR133">
        <f t="shared" si="35"/>
        <v>4</v>
      </c>
      <c r="AS133">
        <f t="shared" si="46"/>
        <v>4</v>
      </c>
      <c r="AT133">
        <f t="shared" si="36"/>
        <v>3</v>
      </c>
      <c r="AU133">
        <f t="shared" si="37"/>
        <v>3</v>
      </c>
      <c r="AV133" s="19">
        <f t="shared" si="47"/>
        <v>2.6666666666666665</v>
      </c>
      <c r="AW133" s="4"/>
      <c r="AY133">
        <v>4</v>
      </c>
      <c r="AZ133">
        <v>3</v>
      </c>
      <c r="BA133">
        <v>4</v>
      </c>
      <c r="BB133">
        <v>6</v>
      </c>
      <c r="BC133">
        <v>3</v>
      </c>
      <c r="BD133">
        <v>0</v>
      </c>
      <c r="BE133">
        <f t="shared" si="38"/>
        <v>12</v>
      </c>
      <c r="BF133">
        <f t="shared" si="39"/>
        <v>0</v>
      </c>
      <c r="BG133">
        <f t="shared" si="40"/>
        <v>12</v>
      </c>
      <c r="BI133">
        <v>4</v>
      </c>
      <c r="BJ133">
        <v>3</v>
      </c>
      <c r="BK133">
        <v>3</v>
      </c>
      <c r="BL133">
        <v>6</v>
      </c>
      <c r="BM133">
        <v>4</v>
      </c>
      <c r="BN133">
        <v>0</v>
      </c>
      <c r="BO133">
        <f t="shared" si="41"/>
        <v>8</v>
      </c>
      <c r="BP133">
        <f t="shared" si="42"/>
        <v>0</v>
      </c>
      <c r="BQ133">
        <f t="shared" si="43"/>
        <v>8</v>
      </c>
      <c r="BR133">
        <f t="shared" si="44"/>
        <v>20</v>
      </c>
    </row>
    <row r="134" spans="1:70" ht="30" x14ac:dyDescent="0.25">
      <c r="A134" s="2" t="s">
        <v>33</v>
      </c>
      <c r="B134">
        <v>100</v>
      </c>
      <c r="C134">
        <v>621</v>
      </c>
      <c r="D134" s="2" t="s">
        <v>62</v>
      </c>
      <c r="E134" s="1">
        <v>44496.141150625001</v>
      </c>
      <c r="F134" s="2" t="s">
        <v>63</v>
      </c>
      <c r="G134" s="2" t="s">
        <v>63</v>
      </c>
      <c r="H134" s="2" t="s">
        <v>63</v>
      </c>
      <c r="I134" s="2" t="s">
        <v>63</v>
      </c>
      <c r="J134" s="2" t="s">
        <v>64</v>
      </c>
      <c r="K134" s="2" t="s">
        <v>65</v>
      </c>
      <c r="L134" s="2" t="s">
        <v>66</v>
      </c>
      <c r="M134" s="2" t="s">
        <v>71</v>
      </c>
      <c r="N134" s="2" t="s">
        <v>71</v>
      </c>
      <c r="O134" s="2" t="s">
        <v>67</v>
      </c>
      <c r="P134" s="2" t="s">
        <v>71</v>
      </c>
      <c r="Q134" s="2" t="s">
        <v>71</v>
      </c>
      <c r="R134" s="2" t="s">
        <v>72</v>
      </c>
      <c r="S134">
        <v>3</v>
      </c>
      <c r="T134">
        <v>3</v>
      </c>
      <c r="U134">
        <v>4</v>
      </c>
      <c r="V134">
        <v>4</v>
      </c>
      <c r="W134">
        <v>3</v>
      </c>
      <c r="X134">
        <v>3</v>
      </c>
      <c r="Y134" s="2" t="s">
        <v>69</v>
      </c>
      <c r="Z134">
        <v>3</v>
      </c>
      <c r="AA134">
        <v>3</v>
      </c>
      <c r="AB134">
        <v>4</v>
      </c>
      <c r="AC134">
        <v>4</v>
      </c>
      <c r="AD134">
        <v>3</v>
      </c>
      <c r="AE134">
        <v>3</v>
      </c>
      <c r="AF134" s="10" t="s">
        <v>207</v>
      </c>
      <c r="AG134" s="4"/>
      <c r="AH134" s="8">
        <v>132</v>
      </c>
      <c r="AI134">
        <v>0</v>
      </c>
      <c r="AJ134">
        <v>0</v>
      </c>
      <c r="AK134" s="8" t="s">
        <v>317</v>
      </c>
      <c r="AL134" t="s">
        <v>318</v>
      </c>
      <c r="AM134" t="str">
        <f t="shared" si="45"/>
        <v>Honest</v>
      </c>
      <c r="AN134" s="4"/>
      <c r="AO134">
        <f t="shared" si="32"/>
        <v>1</v>
      </c>
      <c r="AP134">
        <f t="shared" si="33"/>
        <v>2</v>
      </c>
      <c r="AQ134">
        <f t="shared" si="34"/>
        <v>2</v>
      </c>
      <c r="AR134">
        <f t="shared" si="35"/>
        <v>6</v>
      </c>
      <c r="AS134">
        <f t="shared" si="46"/>
        <v>2</v>
      </c>
      <c r="AT134">
        <f t="shared" si="36"/>
        <v>2</v>
      </c>
      <c r="AU134">
        <f t="shared" si="37"/>
        <v>2</v>
      </c>
      <c r="AV134" s="19">
        <f t="shared" si="47"/>
        <v>1.8333333333333333</v>
      </c>
      <c r="AW134" s="4"/>
      <c r="AY134">
        <v>3</v>
      </c>
      <c r="AZ134">
        <v>3</v>
      </c>
      <c r="BA134">
        <v>1</v>
      </c>
      <c r="BB134">
        <v>6</v>
      </c>
      <c r="BC134">
        <v>3</v>
      </c>
      <c r="BD134">
        <v>4</v>
      </c>
      <c r="BE134">
        <f t="shared" si="38"/>
        <v>6</v>
      </c>
      <c r="BF134">
        <f t="shared" si="39"/>
        <v>0</v>
      </c>
      <c r="BG134">
        <f t="shared" si="40"/>
        <v>6</v>
      </c>
      <c r="BI134">
        <v>3</v>
      </c>
      <c r="BJ134">
        <v>3</v>
      </c>
      <c r="BK134">
        <v>1</v>
      </c>
      <c r="BL134">
        <v>6</v>
      </c>
      <c r="BM134">
        <v>3</v>
      </c>
      <c r="BN134">
        <v>4</v>
      </c>
      <c r="BO134">
        <f t="shared" si="41"/>
        <v>6</v>
      </c>
      <c r="BP134">
        <f t="shared" si="42"/>
        <v>0</v>
      </c>
      <c r="BQ134">
        <f t="shared" si="43"/>
        <v>6</v>
      </c>
      <c r="BR134">
        <f t="shared" si="44"/>
        <v>12</v>
      </c>
    </row>
    <row r="135" spans="1:70" ht="45" x14ac:dyDescent="0.25">
      <c r="A135" s="2" t="s">
        <v>33</v>
      </c>
      <c r="B135">
        <v>100</v>
      </c>
      <c r="C135">
        <v>555</v>
      </c>
      <c r="D135" s="2" t="s">
        <v>62</v>
      </c>
      <c r="E135" s="1">
        <v>44496.727638460645</v>
      </c>
      <c r="F135" s="2" t="s">
        <v>63</v>
      </c>
      <c r="G135" s="2" t="s">
        <v>63</v>
      </c>
      <c r="H135" s="2" t="s">
        <v>63</v>
      </c>
      <c r="I135" s="2" t="s">
        <v>63</v>
      </c>
      <c r="J135" s="2" t="s">
        <v>64</v>
      </c>
      <c r="K135" s="2" t="s">
        <v>65</v>
      </c>
      <c r="L135" s="2" t="s">
        <v>74</v>
      </c>
      <c r="M135" s="2" t="s">
        <v>78</v>
      </c>
      <c r="N135" s="2" t="s">
        <v>74</v>
      </c>
      <c r="O135" s="2" t="s">
        <v>81</v>
      </c>
      <c r="P135" s="2" t="s">
        <v>67</v>
      </c>
      <c r="Q135" s="2" t="s">
        <v>71</v>
      </c>
      <c r="R135" s="2" t="s">
        <v>72</v>
      </c>
      <c r="S135">
        <v>3</v>
      </c>
      <c r="T135">
        <v>6</v>
      </c>
      <c r="U135">
        <v>2</v>
      </c>
      <c r="V135">
        <v>3</v>
      </c>
      <c r="W135">
        <v>2</v>
      </c>
      <c r="X135">
        <v>4</v>
      </c>
      <c r="Y135" s="2" t="s">
        <v>72</v>
      </c>
      <c r="Z135">
        <v>3</v>
      </c>
      <c r="AA135">
        <v>6</v>
      </c>
      <c r="AB135">
        <v>4</v>
      </c>
      <c r="AC135">
        <v>3</v>
      </c>
      <c r="AD135">
        <v>1</v>
      </c>
      <c r="AE135">
        <v>3</v>
      </c>
      <c r="AF135" s="10" t="s">
        <v>208</v>
      </c>
      <c r="AG135" s="4"/>
      <c r="AH135" s="8">
        <v>133</v>
      </c>
      <c r="AI135">
        <v>5</v>
      </c>
      <c r="AJ135">
        <v>0</v>
      </c>
      <c r="AK135" s="8" t="s">
        <v>315</v>
      </c>
      <c r="AL135" t="s">
        <v>316</v>
      </c>
      <c r="AM135" t="str">
        <f t="shared" si="45"/>
        <v>Honest</v>
      </c>
      <c r="AN135" s="4"/>
      <c r="AO135">
        <f t="shared" si="32"/>
        <v>3</v>
      </c>
      <c r="AP135">
        <f t="shared" si="33"/>
        <v>7</v>
      </c>
      <c r="AQ135">
        <f t="shared" si="34"/>
        <v>3</v>
      </c>
      <c r="AR135">
        <f t="shared" si="35"/>
        <v>5</v>
      </c>
      <c r="AS135">
        <f t="shared" si="46"/>
        <v>3</v>
      </c>
      <c r="AT135">
        <f t="shared" si="36"/>
        <v>6</v>
      </c>
      <c r="AU135">
        <f t="shared" si="37"/>
        <v>2</v>
      </c>
      <c r="AV135" s="19">
        <f t="shared" si="47"/>
        <v>4</v>
      </c>
      <c r="AW135" s="4"/>
      <c r="AY135">
        <v>2</v>
      </c>
      <c r="AZ135">
        <v>2</v>
      </c>
      <c r="BA135">
        <v>4</v>
      </c>
      <c r="BB135">
        <v>5</v>
      </c>
      <c r="BC135">
        <v>2</v>
      </c>
      <c r="BD135">
        <v>5</v>
      </c>
      <c r="BE135">
        <f t="shared" si="38"/>
        <v>10</v>
      </c>
      <c r="BF135">
        <f t="shared" si="39"/>
        <v>0</v>
      </c>
      <c r="BG135">
        <f t="shared" si="40"/>
        <v>10</v>
      </c>
      <c r="BI135">
        <v>2</v>
      </c>
      <c r="BJ135">
        <v>1</v>
      </c>
      <c r="BK135">
        <v>4</v>
      </c>
      <c r="BL135">
        <v>6</v>
      </c>
      <c r="BM135">
        <v>2</v>
      </c>
      <c r="BN135">
        <v>5</v>
      </c>
      <c r="BO135">
        <f t="shared" si="41"/>
        <v>12</v>
      </c>
      <c r="BP135">
        <f t="shared" si="42"/>
        <v>1</v>
      </c>
      <c r="BQ135">
        <f t="shared" si="43"/>
        <v>13</v>
      </c>
      <c r="BR135">
        <f t="shared" si="44"/>
        <v>23</v>
      </c>
    </row>
    <row r="136" spans="1:70" ht="60" x14ac:dyDescent="0.25">
      <c r="A136" s="2" t="s">
        <v>33</v>
      </c>
      <c r="B136">
        <v>100</v>
      </c>
      <c r="C136">
        <v>262</v>
      </c>
      <c r="D136" s="2" t="s">
        <v>62</v>
      </c>
      <c r="E136" s="1">
        <v>44497.14122420139</v>
      </c>
      <c r="F136" s="2" t="s">
        <v>63</v>
      </c>
      <c r="G136" s="2" t="s">
        <v>63</v>
      </c>
      <c r="H136" s="2" t="s">
        <v>63</v>
      </c>
      <c r="I136" s="2" t="s">
        <v>63</v>
      </c>
      <c r="J136" s="2" t="s">
        <v>64</v>
      </c>
      <c r="K136" s="2" t="s">
        <v>65</v>
      </c>
      <c r="L136" s="2" t="s">
        <v>66</v>
      </c>
      <c r="M136" s="2" t="s">
        <v>74</v>
      </c>
      <c r="N136" s="2" t="s">
        <v>71</v>
      </c>
      <c r="O136" s="2" t="s">
        <v>75</v>
      </c>
      <c r="P136" s="2" t="s">
        <v>71</v>
      </c>
      <c r="Q136" s="2" t="s">
        <v>71</v>
      </c>
      <c r="R136" s="2" t="s">
        <v>69</v>
      </c>
      <c r="S136">
        <v>1</v>
      </c>
      <c r="T136">
        <v>3</v>
      </c>
      <c r="U136">
        <v>5</v>
      </c>
      <c r="V136">
        <v>5</v>
      </c>
      <c r="W136">
        <v>2</v>
      </c>
      <c r="X136">
        <v>4</v>
      </c>
      <c r="Y136" s="2" t="s">
        <v>68</v>
      </c>
      <c r="Z136">
        <v>1</v>
      </c>
      <c r="AA136">
        <v>2</v>
      </c>
      <c r="AB136">
        <v>6</v>
      </c>
      <c r="AC136">
        <v>2</v>
      </c>
      <c r="AD136">
        <v>2</v>
      </c>
      <c r="AE136">
        <v>7</v>
      </c>
      <c r="AF136" s="10" t="s">
        <v>209</v>
      </c>
      <c r="AG136" s="4"/>
      <c r="AH136" s="8">
        <v>134</v>
      </c>
      <c r="AI136">
        <v>1</v>
      </c>
      <c r="AJ136">
        <v>11</v>
      </c>
      <c r="AK136" s="8" t="s">
        <v>317</v>
      </c>
      <c r="AL136" t="s">
        <v>320</v>
      </c>
      <c r="AM136" t="str">
        <f t="shared" si="45"/>
        <v>Lie</v>
      </c>
      <c r="AN136" s="4"/>
      <c r="AO136">
        <f t="shared" si="32"/>
        <v>1</v>
      </c>
      <c r="AP136">
        <f t="shared" si="33"/>
        <v>3</v>
      </c>
      <c r="AQ136">
        <f t="shared" si="34"/>
        <v>2</v>
      </c>
      <c r="AR136">
        <f t="shared" si="35"/>
        <v>4</v>
      </c>
      <c r="AS136">
        <f t="shared" si="46"/>
        <v>4</v>
      </c>
      <c r="AT136">
        <f t="shared" si="36"/>
        <v>2</v>
      </c>
      <c r="AU136">
        <f t="shared" si="37"/>
        <v>2</v>
      </c>
      <c r="AV136" s="19">
        <f t="shared" si="47"/>
        <v>2.3333333333333335</v>
      </c>
      <c r="AW136" s="4"/>
      <c r="AY136">
        <v>4</v>
      </c>
      <c r="AZ136">
        <v>4</v>
      </c>
      <c r="BA136">
        <v>4</v>
      </c>
      <c r="BB136">
        <v>6</v>
      </c>
      <c r="BC136">
        <v>1</v>
      </c>
      <c r="BD136">
        <v>1</v>
      </c>
      <c r="BE136">
        <f t="shared" si="38"/>
        <v>10</v>
      </c>
      <c r="BF136">
        <f t="shared" si="39"/>
        <v>1</v>
      </c>
      <c r="BG136">
        <f t="shared" si="40"/>
        <v>11</v>
      </c>
      <c r="BI136">
        <v>2</v>
      </c>
      <c r="BJ136">
        <v>6</v>
      </c>
      <c r="BK136">
        <v>4</v>
      </c>
      <c r="BL136">
        <v>2</v>
      </c>
      <c r="BM136">
        <v>4</v>
      </c>
      <c r="BN136">
        <v>2</v>
      </c>
      <c r="BO136">
        <f t="shared" si="41"/>
        <v>14</v>
      </c>
      <c r="BP136">
        <f t="shared" si="42"/>
        <v>1</v>
      </c>
      <c r="BQ136">
        <f t="shared" si="43"/>
        <v>15</v>
      </c>
      <c r="BR136">
        <f t="shared" si="44"/>
        <v>26</v>
      </c>
    </row>
    <row r="137" spans="1:70" ht="60" x14ac:dyDescent="0.25">
      <c r="A137" s="2" t="s">
        <v>33</v>
      </c>
      <c r="B137">
        <v>100</v>
      </c>
      <c r="C137">
        <v>206</v>
      </c>
      <c r="D137" s="2" t="s">
        <v>62</v>
      </c>
      <c r="E137" s="1">
        <v>44497.14243896991</v>
      </c>
      <c r="F137" s="2" t="s">
        <v>63</v>
      </c>
      <c r="G137" s="2" t="s">
        <v>63</v>
      </c>
      <c r="H137" s="2" t="s">
        <v>63</v>
      </c>
      <c r="I137" s="2" t="s">
        <v>63</v>
      </c>
      <c r="J137" s="2" t="s">
        <v>64</v>
      </c>
      <c r="K137" s="2" t="s">
        <v>65</v>
      </c>
      <c r="L137" s="2" t="s">
        <v>71</v>
      </c>
      <c r="M137" s="2" t="s">
        <v>75</v>
      </c>
      <c r="N137" s="2" t="s">
        <v>74</v>
      </c>
      <c r="O137" s="2" t="s">
        <v>75</v>
      </c>
      <c r="P137" s="2" t="s">
        <v>75</v>
      </c>
      <c r="Q137" s="2" t="s">
        <v>75</v>
      </c>
      <c r="R137" s="2" t="s">
        <v>68</v>
      </c>
      <c r="S137">
        <v>5</v>
      </c>
      <c r="T137">
        <v>0</v>
      </c>
      <c r="U137">
        <v>5</v>
      </c>
      <c r="V137">
        <v>0</v>
      </c>
      <c r="W137">
        <v>5</v>
      </c>
      <c r="X137">
        <v>5</v>
      </c>
      <c r="Y137" s="2" t="s">
        <v>69</v>
      </c>
      <c r="Z137">
        <v>4</v>
      </c>
      <c r="AA137">
        <v>2</v>
      </c>
      <c r="AB137">
        <v>4</v>
      </c>
      <c r="AC137">
        <v>2</v>
      </c>
      <c r="AD137">
        <v>5</v>
      </c>
      <c r="AE137">
        <v>3</v>
      </c>
      <c r="AF137" s="10" t="s">
        <v>113</v>
      </c>
      <c r="AG137" s="4"/>
      <c r="AH137" s="8">
        <v>135</v>
      </c>
      <c r="AI137">
        <v>0</v>
      </c>
      <c r="AJ137">
        <v>0</v>
      </c>
      <c r="AK137" s="8" t="s">
        <v>315</v>
      </c>
      <c r="AL137" t="s">
        <v>316</v>
      </c>
      <c r="AM137" t="str">
        <f t="shared" si="45"/>
        <v>Honest</v>
      </c>
      <c r="AN137" s="4"/>
      <c r="AO137">
        <f t="shared" si="32"/>
        <v>2</v>
      </c>
      <c r="AP137">
        <f t="shared" si="33"/>
        <v>4</v>
      </c>
      <c r="AQ137">
        <f t="shared" si="34"/>
        <v>3</v>
      </c>
      <c r="AR137">
        <f t="shared" si="35"/>
        <v>4</v>
      </c>
      <c r="AS137">
        <f t="shared" si="46"/>
        <v>4</v>
      </c>
      <c r="AT137">
        <f t="shared" si="36"/>
        <v>4</v>
      </c>
      <c r="AU137">
        <f t="shared" si="37"/>
        <v>4</v>
      </c>
      <c r="AV137" s="19">
        <f t="shared" si="47"/>
        <v>3.5</v>
      </c>
      <c r="AW137" s="4"/>
      <c r="AY137">
        <v>4</v>
      </c>
      <c r="AZ137">
        <v>3</v>
      </c>
      <c r="BA137">
        <v>5</v>
      </c>
      <c r="BB137">
        <v>2</v>
      </c>
      <c r="BC137">
        <v>3</v>
      </c>
      <c r="BD137">
        <v>3</v>
      </c>
      <c r="BE137">
        <f t="shared" si="38"/>
        <v>10</v>
      </c>
      <c r="BF137">
        <f t="shared" si="39"/>
        <v>1</v>
      </c>
      <c r="BG137">
        <f t="shared" si="40"/>
        <v>11</v>
      </c>
      <c r="BI137">
        <v>4</v>
      </c>
      <c r="BJ137">
        <v>3</v>
      </c>
      <c r="BK137">
        <v>5</v>
      </c>
      <c r="BL137">
        <v>2</v>
      </c>
      <c r="BM137">
        <v>3</v>
      </c>
      <c r="BN137">
        <v>3</v>
      </c>
      <c r="BO137">
        <f t="shared" si="41"/>
        <v>4</v>
      </c>
      <c r="BP137">
        <f t="shared" si="42"/>
        <v>0</v>
      </c>
      <c r="BQ137">
        <f t="shared" si="43"/>
        <v>4</v>
      </c>
      <c r="BR137">
        <f t="shared" si="44"/>
        <v>15</v>
      </c>
    </row>
    <row r="138" spans="1:70" s="4" customFormat="1" ht="60" x14ac:dyDescent="0.25">
      <c r="A138" s="2" t="s">
        <v>33</v>
      </c>
      <c r="B138">
        <v>100</v>
      </c>
      <c r="C138">
        <v>259</v>
      </c>
      <c r="D138" s="2" t="s">
        <v>62</v>
      </c>
      <c r="E138" s="1">
        <v>44497.385650358796</v>
      </c>
      <c r="F138" s="2" t="s">
        <v>63</v>
      </c>
      <c r="G138" s="2" t="s">
        <v>63</v>
      </c>
      <c r="H138" s="2" t="s">
        <v>63</v>
      </c>
      <c r="I138" s="2" t="s">
        <v>63</v>
      </c>
      <c r="J138" s="2" t="s">
        <v>64</v>
      </c>
      <c r="K138" s="2" t="s">
        <v>65</v>
      </c>
      <c r="L138" s="2" t="s">
        <v>66</v>
      </c>
      <c r="M138" s="2" t="s">
        <v>74</v>
      </c>
      <c r="N138" s="2" t="s">
        <v>71</v>
      </c>
      <c r="O138" s="2" t="s">
        <v>75</v>
      </c>
      <c r="P138" s="2" t="s">
        <v>75</v>
      </c>
      <c r="Q138" s="2" t="s">
        <v>74</v>
      </c>
      <c r="R138" s="2" t="s">
        <v>72</v>
      </c>
      <c r="S138">
        <v>4</v>
      </c>
      <c r="T138">
        <v>3</v>
      </c>
      <c r="U138">
        <v>2</v>
      </c>
      <c r="V138">
        <v>5</v>
      </c>
      <c r="W138">
        <v>3</v>
      </c>
      <c r="X138">
        <v>3</v>
      </c>
      <c r="Y138" s="2" t="s">
        <v>72</v>
      </c>
      <c r="Z138">
        <v>3</v>
      </c>
      <c r="AA138">
        <v>3</v>
      </c>
      <c r="AB138">
        <v>5</v>
      </c>
      <c r="AC138">
        <v>3</v>
      </c>
      <c r="AD138">
        <v>2</v>
      </c>
      <c r="AE138">
        <v>4</v>
      </c>
      <c r="AF138" s="10" t="s">
        <v>210</v>
      </c>
      <c r="AH138" s="8">
        <v>136</v>
      </c>
      <c r="AI138">
        <v>0</v>
      </c>
      <c r="AJ138">
        <v>0</v>
      </c>
      <c r="AK138" s="8" t="s">
        <v>317</v>
      </c>
      <c r="AL138" t="s">
        <v>318</v>
      </c>
      <c r="AM138" t="str">
        <f t="shared" si="45"/>
        <v>Honest</v>
      </c>
      <c r="AO138">
        <f t="shared" si="32"/>
        <v>1</v>
      </c>
      <c r="AP138">
        <f t="shared" si="33"/>
        <v>3</v>
      </c>
      <c r="AQ138">
        <f t="shared" si="34"/>
        <v>2</v>
      </c>
      <c r="AR138">
        <f t="shared" si="35"/>
        <v>4</v>
      </c>
      <c r="AS138">
        <f t="shared" si="46"/>
        <v>4</v>
      </c>
      <c r="AT138">
        <f t="shared" si="36"/>
        <v>4</v>
      </c>
      <c r="AU138">
        <f t="shared" si="37"/>
        <v>3</v>
      </c>
      <c r="AV138" s="19">
        <f t="shared" si="47"/>
        <v>2.8333333333333335</v>
      </c>
      <c r="AX138"/>
      <c r="AY138">
        <v>3</v>
      </c>
      <c r="AZ138">
        <v>3</v>
      </c>
      <c r="BA138">
        <v>6</v>
      </c>
      <c r="BB138">
        <v>3</v>
      </c>
      <c r="BC138">
        <v>2</v>
      </c>
      <c r="BD138">
        <v>3</v>
      </c>
      <c r="BE138">
        <f t="shared" si="38"/>
        <v>8</v>
      </c>
      <c r="BF138">
        <f t="shared" si="39"/>
        <v>0</v>
      </c>
      <c r="BG138">
        <f t="shared" si="40"/>
        <v>8</v>
      </c>
      <c r="BH138" s="8"/>
      <c r="BI138">
        <v>3</v>
      </c>
      <c r="BJ138">
        <v>3</v>
      </c>
      <c r="BK138">
        <v>6</v>
      </c>
      <c r="BL138">
        <v>3</v>
      </c>
      <c r="BM138">
        <v>2</v>
      </c>
      <c r="BN138">
        <v>3</v>
      </c>
      <c r="BO138">
        <f t="shared" si="41"/>
        <v>2</v>
      </c>
      <c r="BP138">
        <f t="shared" si="42"/>
        <v>1</v>
      </c>
      <c r="BQ138">
        <f t="shared" si="43"/>
        <v>3</v>
      </c>
      <c r="BR138">
        <f t="shared" si="44"/>
        <v>11</v>
      </c>
    </row>
    <row r="139" spans="1:70" ht="45" x14ac:dyDescent="0.25">
      <c r="A139" s="2" t="s">
        <v>33</v>
      </c>
      <c r="B139">
        <v>100</v>
      </c>
      <c r="C139">
        <v>247</v>
      </c>
      <c r="D139" s="2" t="s">
        <v>62</v>
      </c>
      <c r="E139" s="1">
        <v>44498.488338530093</v>
      </c>
      <c r="F139" s="2" t="s">
        <v>63</v>
      </c>
      <c r="G139" s="2" t="s">
        <v>63</v>
      </c>
      <c r="H139" s="2" t="s">
        <v>63</v>
      </c>
      <c r="I139" s="2" t="s">
        <v>63</v>
      </c>
      <c r="J139" s="2" t="s">
        <v>64</v>
      </c>
      <c r="K139" s="2" t="s">
        <v>65</v>
      </c>
      <c r="L139" s="2" t="s">
        <v>81</v>
      </c>
      <c r="M139" s="2" t="s">
        <v>74</v>
      </c>
      <c r="N139" s="2" t="s">
        <v>71</v>
      </c>
      <c r="O139" s="2" t="s">
        <v>67</v>
      </c>
      <c r="P139" s="2" t="s">
        <v>71</v>
      </c>
      <c r="Q139" s="2" t="s">
        <v>66</v>
      </c>
      <c r="R139" s="2" t="s">
        <v>72</v>
      </c>
      <c r="S139">
        <v>4</v>
      </c>
      <c r="T139">
        <v>2</v>
      </c>
      <c r="U139">
        <v>3</v>
      </c>
      <c r="V139">
        <v>5</v>
      </c>
      <c r="W139">
        <v>3</v>
      </c>
      <c r="X139">
        <v>3</v>
      </c>
      <c r="Y139" s="2" t="s">
        <v>72</v>
      </c>
      <c r="Z139">
        <v>3</v>
      </c>
      <c r="AA139">
        <v>2</v>
      </c>
      <c r="AB139">
        <v>4</v>
      </c>
      <c r="AC139">
        <v>5</v>
      </c>
      <c r="AD139">
        <v>3</v>
      </c>
      <c r="AE139">
        <v>3</v>
      </c>
      <c r="AF139" s="10" t="s">
        <v>211</v>
      </c>
      <c r="AG139" s="4"/>
      <c r="AH139" s="8">
        <v>137</v>
      </c>
      <c r="AI139">
        <v>0</v>
      </c>
      <c r="AJ139">
        <v>0</v>
      </c>
      <c r="AK139" s="8" t="s">
        <v>317</v>
      </c>
      <c r="AL139" t="s">
        <v>318</v>
      </c>
      <c r="AM139" t="str">
        <f t="shared" si="45"/>
        <v>Honest</v>
      </c>
      <c r="AN139" s="4"/>
      <c r="AO139">
        <f t="shared" si="32"/>
        <v>5</v>
      </c>
      <c r="AP139">
        <f t="shared" si="33"/>
        <v>3</v>
      </c>
      <c r="AQ139">
        <f t="shared" si="34"/>
        <v>2</v>
      </c>
      <c r="AR139">
        <f t="shared" si="35"/>
        <v>6</v>
      </c>
      <c r="AS139">
        <f t="shared" si="46"/>
        <v>2</v>
      </c>
      <c r="AT139">
        <f t="shared" si="36"/>
        <v>2</v>
      </c>
      <c r="AU139">
        <f t="shared" si="37"/>
        <v>1</v>
      </c>
      <c r="AV139" s="19">
        <f t="shared" si="47"/>
        <v>2.5</v>
      </c>
      <c r="AW139" s="4"/>
      <c r="AY139">
        <v>2</v>
      </c>
      <c r="AZ139">
        <v>2</v>
      </c>
      <c r="BA139">
        <v>5</v>
      </c>
      <c r="BB139">
        <v>7</v>
      </c>
      <c r="BC139">
        <v>0</v>
      </c>
      <c r="BD139">
        <v>4</v>
      </c>
      <c r="BE139">
        <f t="shared" si="38"/>
        <v>10</v>
      </c>
      <c r="BF139">
        <f t="shared" si="39"/>
        <v>0</v>
      </c>
      <c r="BG139">
        <f t="shared" si="40"/>
        <v>10</v>
      </c>
      <c r="BI139">
        <v>2</v>
      </c>
      <c r="BJ139">
        <v>2</v>
      </c>
      <c r="BK139">
        <v>4</v>
      </c>
      <c r="BL139">
        <v>8</v>
      </c>
      <c r="BM139">
        <v>0</v>
      </c>
      <c r="BN139">
        <v>4</v>
      </c>
      <c r="BO139">
        <f t="shared" si="41"/>
        <v>8</v>
      </c>
      <c r="BP139">
        <f t="shared" si="42"/>
        <v>1</v>
      </c>
      <c r="BQ139">
        <f t="shared" si="43"/>
        <v>9</v>
      </c>
      <c r="BR139">
        <f t="shared" si="44"/>
        <v>19</v>
      </c>
    </row>
    <row r="140" spans="1:70" ht="60" x14ac:dyDescent="0.25">
      <c r="A140" s="2" t="s">
        <v>33</v>
      </c>
      <c r="B140">
        <v>100</v>
      </c>
      <c r="C140">
        <v>222</v>
      </c>
      <c r="D140" s="2" t="s">
        <v>62</v>
      </c>
      <c r="E140" s="1">
        <v>44500.081134687498</v>
      </c>
      <c r="F140" s="2" t="s">
        <v>63</v>
      </c>
      <c r="G140" s="2" t="s">
        <v>63</v>
      </c>
      <c r="H140" s="2" t="s">
        <v>63</v>
      </c>
      <c r="I140" s="2" t="s">
        <v>63</v>
      </c>
      <c r="J140" s="2" t="s">
        <v>64</v>
      </c>
      <c r="K140" s="2" t="s">
        <v>65</v>
      </c>
      <c r="L140" s="2" t="s">
        <v>71</v>
      </c>
      <c r="M140" s="2" t="s">
        <v>67</v>
      </c>
      <c r="N140" s="2" t="s">
        <v>66</v>
      </c>
      <c r="O140" s="2" t="s">
        <v>75</v>
      </c>
      <c r="P140" s="2" t="s">
        <v>81</v>
      </c>
      <c r="Q140" s="2" t="s">
        <v>81</v>
      </c>
      <c r="R140" s="2" t="s">
        <v>69</v>
      </c>
      <c r="S140">
        <v>4</v>
      </c>
      <c r="T140">
        <v>5</v>
      </c>
      <c r="U140">
        <v>2</v>
      </c>
      <c r="V140">
        <v>1</v>
      </c>
      <c r="W140">
        <v>4</v>
      </c>
      <c r="X140">
        <v>4</v>
      </c>
      <c r="Y140" s="2" t="s">
        <v>68</v>
      </c>
      <c r="Z140">
        <v>5</v>
      </c>
      <c r="AA140">
        <v>4</v>
      </c>
      <c r="AB140">
        <v>1</v>
      </c>
      <c r="AC140">
        <v>1</v>
      </c>
      <c r="AD140">
        <v>5</v>
      </c>
      <c r="AE140">
        <v>4</v>
      </c>
      <c r="AF140" s="10" t="s">
        <v>212</v>
      </c>
      <c r="AG140" s="4"/>
      <c r="AH140" s="8">
        <v>138</v>
      </c>
      <c r="AI140">
        <v>1</v>
      </c>
      <c r="AJ140">
        <v>10</v>
      </c>
      <c r="AK140" s="8" t="s">
        <v>317</v>
      </c>
      <c r="AL140" t="s">
        <v>320</v>
      </c>
      <c r="AM140" t="str">
        <f t="shared" si="45"/>
        <v>Lie</v>
      </c>
      <c r="AN140" s="4"/>
      <c r="AO140">
        <f t="shared" si="32"/>
        <v>2</v>
      </c>
      <c r="AP140">
        <f t="shared" si="33"/>
        <v>6</v>
      </c>
      <c r="AQ140">
        <f t="shared" si="34"/>
        <v>1</v>
      </c>
      <c r="AR140">
        <f t="shared" si="35"/>
        <v>4</v>
      </c>
      <c r="AS140">
        <f t="shared" si="46"/>
        <v>4</v>
      </c>
      <c r="AT140">
        <f t="shared" si="36"/>
        <v>5</v>
      </c>
      <c r="AU140">
        <f t="shared" si="37"/>
        <v>5</v>
      </c>
      <c r="AV140" s="19">
        <f t="shared" si="47"/>
        <v>3.8333333333333335</v>
      </c>
      <c r="AW140" s="4"/>
      <c r="AY140">
        <v>3</v>
      </c>
      <c r="AZ140">
        <v>4</v>
      </c>
      <c r="BA140">
        <v>1</v>
      </c>
      <c r="BB140">
        <v>3</v>
      </c>
      <c r="BC140">
        <v>1</v>
      </c>
      <c r="BD140">
        <v>7</v>
      </c>
      <c r="BE140">
        <f t="shared" si="38"/>
        <v>11</v>
      </c>
      <c r="BF140">
        <f t="shared" si="39"/>
        <v>1</v>
      </c>
      <c r="BG140">
        <f t="shared" si="40"/>
        <v>12</v>
      </c>
      <c r="BI140">
        <v>2</v>
      </c>
      <c r="BJ140">
        <v>7</v>
      </c>
      <c r="BK140">
        <v>1</v>
      </c>
      <c r="BL140">
        <v>2</v>
      </c>
      <c r="BM140">
        <v>4</v>
      </c>
      <c r="BN140">
        <v>4</v>
      </c>
      <c r="BO140">
        <f t="shared" si="41"/>
        <v>8</v>
      </c>
      <c r="BP140">
        <f t="shared" si="42"/>
        <v>1</v>
      </c>
      <c r="BQ140">
        <f t="shared" si="43"/>
        <v>9</v>
      </c>
      <c r="BR140">
        <f t="shared" si="44"/>
        <v>21</v>
      </c>
    </row>
    <row r="141" spans="1:70" ht="30" x14ac:dyDescent="0.25">
      <c r="A141" s="2" t="s">
        <v>33</v>
      </c>
      <c r="B141">
        <v>100</v>
      </c>
      <c r="C141">
        <v>518</v>
      </c>
      <c r="D141" s="2" t="s">
        <v>62</v>
      </c>
      <c r="E141" s="1">
        <v>44500.159549918979</v>
      </c>
      <c r="F141" s="2" t="s">
        <v>63</v>
      </c>
      <c r="G141" s="2" t="s">
        <v>63</v>
      </c>
      <c r="H141" s="2" t="s">
        <v>63</v>
      </c>
      <c r="I141" s="2" t="s">
        <v>63</v>
      </c>
      <c r="J141" s="2" t="s">
        <v>64</v>
      </c>
      <c r="K141" s="2" t="s">
        <v>65</v>
      </c>
      <c r="L141" s="2" t="s">
        <v>66</v>
      </c>
      <c r="M141" s="2" t="s">
        <v>71</v>
      </c>
      <c r="N141" s="2" t="s">
        <v>66</v>
      </c>
      <c r="O141" s="2" t="s">
        <v>71</v>
      </c>
      <c r="P141" s="2" t="s">
        <v>71</v>
      </c>
      <c r="Q141" s="2" t="s">
        <v>74</v>
      </c>
      <c r="R141" s="2" t="s">
        <v>72</v>
      </c>
      <c r="S141">
        <v>4</v>
      </c>
      <c r="T141">
        <v>2</v>
      </c>
      <c r="U141">
        <v>3</v>
      </c>
      <c r="V141">
        <v>4</v>
      </c>
      <c r="W141">
        <v>2</v>
      </c>
      <c r="X141">
        <v>5</v>
      </c>
      <c r="Y141" s="2" t="s">
        <v>72</v>
      </c>
      <c r="Z141">
        <v>3</v>
      </c>
      <c r="AA141">
        <v>5</v>
      </c>
      <c r="AB141">
        <v>3</v>
      </c>
      <c r="AC141">
        <v>2</v>
      </c>
      <c r="AD141">
        <v>4</v>
      </c>
      <c r="AE141">
        <v>3</v>
      </c>
      <c r="AF141" s="10" t="s">
        <v>213</v>
      </c>
      <c r="AG141" s="4"/>
      <c r="AH141" s="8">
        <v>139</v>
      </c>
      <c r="AI141">
        <v>0</v>
      </c>
      <c r="AJ141">
        <v>0</v>
      </c>
      <c r="AK141" s="8" t="s">
        <v>315</v>
      </c>
      <c r="AL141" t="s">
        <v>316</v>
      </c>
      <c r="AM141" t="str">
        <f t="shared" si="45"/>
        <v>Honest</v>
      </c>
      <c r="AN141" s="4"/>
      <c r="AO141">
        <f t="shared" si="32"/>
        <v>1</v>
      </c>
      <c r="AP141">
        <f t="shared" si="33"/>
        <v>2</v>
      </c>
      <c r="AQ141">
        <f t="shared" si="34"/>
        <v>1</v>
      </c>
      <c r="AR141">
        <f t="shared" si="35"/>
        <v>2</v>
      </c>
      <c r="AS141">
        <f t="shared" si="46"/>
        <v>6</v>
      </c>
      <c r="AT141">
        <f t="shared" si="36"/>
        <v>2</v>
      </c>
      <c r="AU141">
        <f t="shared" si="37"/>
        <v>3</v>
      </c>
      <c r="AV141" s="19">
        <f t="shared" si="47"/>
        <v>2.5</v>
      </c>
      <c r="AW141" s="4"/>
      <c r="AY141">
        <v>5</v>
      </c>
      <c r="AZ141">
        <v>1</v>
      </c>
      <c r="BA141">
        <v>2</v>
      </c>
      <c r="BB141">
        <v>4</v>
      </c>
      <c r="BC141">
        <v>3</v>
      </c>
      <c r="BD141">
        <v>5</v>
      </c>
      <c r="BE141">
        <f t="shared" si="38"/>
        <v>4</v>
      </c>
      <c r="BF141">
        <f t="shared" si="39"/>
        <v>0</v>
      </c>
      <c r="BG141">
        <f t="shared" si="40"/>
        <v>4</v>
      </c>
      <c r="BI141">
        <v>5</v>
      </c>
      <c r="BJ141">
        <v>1</v>
      </c>
      <c r="BK141">
        <v>2</v>
      </c>
      <c r="BL141">
        <v>4</v>
      </c>
      <c r="BM141">
        <v>3</v>
      </c>
      <c r="BN141">
        <v>5</v>
      </c>
      <c r="BO141">
        <f t="shared" si="41"/>
        <v>12</v>
      </c>
      <c r="BP141">
        <f t="shared" si="42"/>
        <v>1</v>
      </c>
      <c r="BQ141">
        <f t="shared" si="43"/>
        <v>13</v>
      </c>
      <c r="BR141">
        <f t="shared" si="44"/>
        <v>17</v>
      </c>
    </row>
    <row r="142" spans="1:70" ht="30" x14ac:dyDescent="0.25">
      <c r="A142" s="2" t="s">
        <v>33</v>
      </c>
      <c r="B142">
        <v>100</v>
      </c>
      <c r="C142">
        <v>258</v>
      </c>
      <c r="D142" s="2" t="s">
        <v>62</v>
      </c>
      <c r="E142" s="1">
        <v>44502.159819537039</v>
      </c>
      <c r="F142" s="2" t="s">
        <v>63</v>
      </c>
      <c r="G142" s="2" t="s">
        <v>63</v>
      </c>
      <c r="H142" s="2" t="s">
        <v>63</v>
      </c>
      <c r="I142" s="2" t="s">
        <v>63</v>
      </c>
      <c r="J142" s="2" t="s">
        <v>64</v>
      </c>
      <c r="K142" s="2" t="s">
        <v>65</v>
      </c>
      <c r="L142" s="2" t="s">
        <v>71</v>
      </c>
      <c r="M142" s="2" t="s">
        <v>67</v>
      </c>
      <c r="N142" s="2" t="s">
        <v>71</v>
      </c>
      <c r="O142" s="2" t="s">
        <v>74</v>
      </c>
      <c r="P142" s="2" t="s">
        <v>67</v>
      </c>
      <c r="Q142" s="2" t="s">
        <v>74</v>
      </c>
      <c r="R142" s="2" t="s">
        <v>72</v>
      </c>
      <c r="S142">
        <v>2</v>
      </c>
      <c r="T142">
        <v>4</v>
      </c>
      <c r="U142">
        <v>2</v>
      </c>
      <c r="V142">
        <v>3</v>
      </c>
      <c r="W142">
        <v>6</v>
      </c>
      <c r="X142">
        <v>3</v>
      </c>
      <c r="Y142" s="2" t="s">
        <v>72</v>
      </c>
      <c r="Z142">
        <v>2</v>
      </c>
      <c r="AA142">
        <v>4</v>
      </c>
      <c r="AB142">
        <v>2</v>
      </c>
      <c r="AC142">
        <v>3</v>
      </c>
      <c r="AD142">
        <v>6</v>
      </c>
      <c r="AE142">
        <v>3</v>
      </c>
      <c r="AF142" s="10" t="s">
        <v>214</v>
      </c>
      <c r="AG142" s="4"/>
      <c r="AH142" s="8">
        <v>140</v>
      </c>
      <c r="AI142">
        <v>0</v>
      </c>
      <c r="AJ142">
        <v>0</v>
      </c>
      <c r="AK142" s="8" t="s">
        <v>315</v>
      </c>
      <c r="AL142" t="s">
        <v>316</v>
      </c>
      <c r="AM142" t="str">
        <f t="shared" si="45"/>
        <v>Honest</v>
      </c>
      <c r="AN142" s="4"/>
      <c r="AO142">
        <f t="shared" si="32"/>
        <v>2</v>
      </c>
      <c r="AP142">
        <f t="shared" si="33"/>
        <v>6</v>
      </c>
      <c r="AQ142">
        <f t="shared" si="34"/>
        <v>2</v>
      </c>
      <c r="AR142">
        <f t="shared" si="35"/>
        <v>3</v>
      </c>
      <c r="AS142">
        <f t="shared" si="46"/>
        <v>5</v>
      </c>
      <c r="AT142">
        <f t="shared" si="36"/>
        <v>6</v>
      </c>
      <c r="AU142">
        <f t="shared" si="37"/>
        <v>3</v>
      </c>
      <c r="AV142" s="19">
        <f t="shared" si="47"/>
        <v>4</v>
      </c>
      <c r="AW142" s="4"/>
      <c r="AY142">
        <v>3</v>
      </c>
      <c r="AZ142">
        <v>5</v>
      </c>
      <c r="BA142">
        <v>1</v>
      </c>
      <c r="BB142">
        <v>2</v>
      </c>
      <c r="BC142">
        <v>6</v>
      </c>
      <c r="BD142">
        <v>3</v>
      </c>
      <c r="BE142">
        <f t="shared" si="38"/>
        <v>4</v>
      </c>
      <c r="BF142">
        <f t="shared" si="39"/>
        <v>0</v>
      </c>
      <c r="BG142">
        <f t="shared" si="40"/>
        <v>4</v>
      </c>
      <c r="BI142">
        <v>3</v>
      </c>
      <c r="BJ142">
        <v>5</v>
      </c>
      <c r="BK142">
        <v>1</v>
      </c>
      <c r="BL142">
        <v>2</v>
      </c>
      <c r="BM142">
        <v>6</v>
      </c>
      <c r="BN142">
        <v>3</v>
      </c>
      <c r="BO142">
        <f t="shared" si="41"/>
        <v>4</v>
      </c>
      <c r="BP142">
        <f t="shared" si="42"/>
        <v>1</v>
      </c>
      <c r="BQ142">
        <f t="shared" si="43"/>
        <v>5</v>
      </c>
      <c r="BR142">
        <f t="shared" si="44"/>
        <v>9</v>
      </c>
    </row>
    <row r="143" spans="1:70" ht="30" x14ac:dyDescent="0.25">
      <c r="A143" s="2" t="s">
        <v>33</v>
      </c>
      <c r="B143">
        <v>100</v>
      </c>
      <c r="C143">
        <v>209</v>
      </c>
      <c r="D143" s="2" t="s">
        <v>62</v>
      </c>
      <c r="E143" s="1">
        <v>44502.596276724536</v>
      </c>
      <c r="F143" s="2" t="s">
        <v>63</v>
      </c>
      <c r="G143" s="2" t="s">
        <v>63</v>
      </c>
      <c r="H143" s="2" t="s">
        <v>63</v>
      </c>
      <c r="I143" s="2" t="s">
        <v>63</v>
      </c>
      <c r="J143" s="2" t="s">
        <v>64</v>
      </c>
      <c r="K143" s="2" t="s">
        <v>65</v>
      </c>
      <c r="L143" s="2" t="s">
        <v>78</v>
      </c>
      <c r="M143" s="2" t="s">
        <v>78</v>
      </c>
      <c r="N143" s="2" t="s">
        <v>78</v>
      </c>
      <c r="O143" s="2" t="s">
        <v>66</v>
      </c>
      <c r="P143" s="2" t="s">
        <v>78</v>
      </c>
      <c r="Q143" s="2" t="s">
        <v>78</v>
      </c>
      <c r="R143" s="2" t="s">
        <v>69</v>
      </c>
      <c r="S143">
        <v>3</v>
      </c>
      <c r="T143">
        <v>5</v>
      </c>
      <c r="U143">
        <v>2</v>
      </c>
      <c r="V143">
        <v>3</v>
      </c>
      <c r="W143">
        <v>5</v>
      </c>
      <c r="X143">
        <v>2</v>
      </c>
      <c r="Y143" s="2" t="s">
        <v>69</v>
      </c>
      <c r="Z143">
        <v>4</v>
      </c>
      <c r="AA143">
        <v>5</v>
      </c>
      <c r="AB143">
        <v>3</v>
      </c>
      <c r="AC143">
        <v>2</v>
      </c>
      <c r="AD143">
        <v>4</v>
      </c>
      <c r="AE143">
        <v>2</v>
      </c>
      <c r="AF143" s="10" t="s">
        <v>215</v>
      </c>
      <c r="AG143" s="4"/>
      <c r="AH143" s="8">
        <v>141</v>
      </c>
      <c r="AI143">
        <v>0</v>
      </c>
      <c r="AJ143">
        <v>0</v>
      </c>
      <c r="AK143" s="8" t="s">
        <v>315</v>
      </c>
      <c r="AL143" t="s">
        <v>316</v>
      </c>
      <c r="AM143" t="str">
        <f t="shared" si="45"/>
        <v>Honest</v>
      </c>
      <c r="AN143" s="4"/>
      <c r="AO143">
        <f t="shared" si="32"/>
        <v>7</v>
      </c>
      <c r="AP143">
        <f t="shared" si="33"/>
        <v>7</v>
      </c>
      <c r="AQ143">
        <f t="shared" si="34"/>
        <v>7</v>
      </c>
      <c r="AR143">
        <f t="shared" si="35"/>
        <v>1</v>
      </c>
      <c r="AS143">
        <f t="shared" si="46"/>
        <v>7</v>
      </c>
      <c r="AT143">
        <f t="shared" si="36"/>
        <v>7</v>
      </c>
      <c r="AU143">
        <f t="shared" si="37"/>
        <v>7</v>
      </c>
      <c r="AV143" s="19">
        <f t="shared" si="47"/>
        <v>7</v>
      </c>
      <c r="AW143" s="4"/>
      <c r="AY143">
        <v>7</v>
      </c>
      <c r="AZ143">
        <v>3</v>
      </c>
      <c r="BA143">
        <v>2</v>
      </c>
      <c r="BB143">
        <v>2</v>
      </c>
      <c r="BC143">
        <v>3</v>
      </c>
      <c r="BD143">
        <v>3</v>
      </c>
      <c r="BE143">
        <f t="shared" si="38"/>
        <v>10</v>
      </c>
      <c r="BF143">
        <f t="shared" si="39"/>
        <v>1</v>
      </c>
      <c r="BG143">
        <f t="shared" si="40"/>
        <v>11</v>
      </c>
      <c r="BI143">
        <v>7</v>
      </c>
      <c r="BJ143">
        <v>3</v>
      </c>
      <c r="BK143">
        <v>2</v>
      </c>
      <c r="BL143">
        <v>2</v>
      </c>
      <c r="BM143">
        <v>3</v>
      </c>
      <c r="BN143">
        <v>3</v>
      </c>
      <c r="BO143">
        <f t="shared" si="41"/>
        <v>8</v>
      </c>
      <c r="BP143">
        <f t="shared" si="42"/>
        <v>0</v>
      </c>
      <c r="BQ143">
        <f t="shared" si="43"/>
        <v>8</v>
      </c>
      <c r="BR143">
        <f t="shared" si="44"/>
        <v>19</v>
      </c>
    </row>
    <row r="144" spans="1:70" ht="30" x14ac:dyDescent="0.25">
      <c r="A144" s="2" t="s">
        <v>33</v>
      </c>
      <c r="B144">
        <v>100</v>
      </c>
      <c r="C144">
        <v>198</v>
      </c>
      <c r="D144" s="2" t="s">
        <v>62</v>
      </c>
      <c r="E144" s="1">
        <v>44502.596604733793</v>
      </c>
      <c r="F144" s="2" t="s">
        <v>63</v>
      </c>
      <c r="G144" s="2" t="s">
        <v>63</v>
      </c>
      <c r="H144" s="2" t="s">
        <v>63</v>
      </c>
      <c r="I144" s="2" t="s">
        <v>63</v>
      </c>
      <c r="J144" s="2" t="s">
        <v>64</v>
      </c>
      <c r="K144" s="2" t="s">
        <v>65</v>
      </c>
      <c r="L144" s="2" t="s">
        <v>71</v>
      </c>
      <c r="M144" s="2" t="s">
        <v>74</v>
      </c>
      <c r="N144" s="2" t="s">
        <v>71</v>
      </c>
      <c r="O144" s="2" t="s">
        <v>67</v>
      </c>
      <c r="P144" s="2" t="s">
        <v>74</v>
      </c>
      <c r="Q144" s="2" t="s">
        <v>74</v>
      </c>
      <c r="R144" s="2" t="s">
        <v>72</v>
      </c>
      <c r="S144">
        <v>5</v>
      </c>
      <c r="T144">
        <v>2</v>
      </c>
      <c r="U144">
        <v>3</v>
      </c>
      <c r="V144">
        <v>3</v>
      </c>
      <c r="W144">
        <v>2</v>
      </c>
      <c r="X144">
        <v>5</v>
      </c>
      <c r="Y144" s="2" t="s">
        <v>72</v>
      </c>
      <c r="Z144">
        <v>6</v>
      </c>
      <c r="AA144">
        <v>2</v>
      </c>
      <c r="AB144">
        <v>2</v>
      </c>
      <c r="AC144">
        <v>3</v>
      </c>
      <c r="AD144">
        <v>3</v>
      </c>
      <c r="AE144">
        <v>4</v>
      </c>
      <c r="AF144" s="10" t="s">
        <v>216</v>
      </c>
      <c r="AG144" s="4"/>
      <c r="AH144" s="8">
        <v>142</v>
      </c>
      <c r="AI144">
        <v>0</v>
      </c>
      <c r="AJ144">
        <v>0</v>
      </c>
      <c r="AK144" s="8" t="s">
        <v>317</v>
      </c>
      <c r="AL144" t="s">
        <v>318</v>
      </c>
      <c r="AM144" t="str">
        <f t="shared" si="45"/>
        <v>Honest</v>
      </c>
      <c r="AN144" s="4"/>
      <c r="AO144">
        <f t="shared" si="32"/>
        <v>2</v>
      </c>
      <c r="AP144">
        <f t="shared" si="33"/>
        <v>3</v>
      </c>
      <c r="AQ144">
        <f t="shared" si="34"/>
        <v>2</v>
      </c>
      <c r="AR144">
        <f t="shared" si="35"/>
        <v>6</v>
      </c>
      <c r="AS144">
        <f t="shared" si="46"/>
        <v>2</v>
      </c>
      <c r="AT144">
        <f t="shared" si="36"/>
        <v>3</v>
      </c>
      <c r="AU144">
        <f t="shared" si="37"/>
        <v>3</v>
      </c>
      <c r="AV144" s="19">
        <f t="shared" si="47"/>
        <v>2.5</v>
      </c>
      <c r="AW144" s="4"/>
      <c r="AY144">
        <v>8</v>
      </c>
      <c r="AZ144">
        <v>1</v>
      </c>
      <c r="BA144">
        <v>2</v>
      </c>
      <c r="BB144">
        <v>3</v>
      </c>
      <c r="BC144">
        <v>1</v>
      </c>
      <c r="BD144">
        <v>5</v>
      </c>
      <c r="BE144">
        <f t="shared" si="38"/>
        <v>6</v>
      </c>
      <c r="BF144">
        <f t="shared" si="39"/>
        <v>0</v>
      </c>
      <c r="BG144">
        <f t="shared" si="40"/>
        <v>6</v>
      </c>
      <c r="BI144">
        <v>8</v>
      </c>
      <c r="BJ144">
        <v>1</v>
      </c>
      <c r="BK144">
        <v>2</v>
      </c>
      <c r="BL144">
        <v>3</v>
      </c>
      <c r="BM144">
        <v>1</v>
      </c>
      <c r="BN144">
        <v>5</v>
      </c>
      <c r="BO144">
        <f t="shared" si="41"/>
        <v>6</v>
      </c>
      <c r="BP144">
        <f t="shared" si="42"/>
        <v>1</v>
      </c>
      <c r="BQ144">
        <f t="shared" si="43"/>
        <v>7</v>
      </c>
      <c r="BR144">
        <f t="shared" si="44"/>
        <v>13</v>
      </c>
    </row>
    <row r="145" spans="1:76" ht="30" x14ac:dyDescent="0.25">
      <c r="A145" s="2" t="s">
        <v>33</v>
      </c>
      <c r="B145">
        <v>100</v>
      </c>
      <c r="C145">
        <v>326</v>
      </c>
      <c r="D145" s="2" t="s">
        <v>62</v>
      </c>
      <c r="E145" s="1">
        <v>44503.43284361111</v>
      </c>
      <c r="F145" s="2" t="s">
        <v>63</v>
      </c>
      <c r="G145" s="2" t="s">
        <v>63</v>
      </c>
      <c r="H145" s="2" t="s">
        <v>63</v>
      </c>
      <c r="I145" s="2" t="s">
        <v>63</v>
      </c>
      <c r="J145" s="2" t="s">
        <v>64</v>
      </c>
      <c r="K145" s="2" t="s">
        <v>65</v>
      </c>
      <c r="L145" s="2" t="s">
        <v>66</v>
      </c>
      <c r="M145" s="2" t="s">
        <v>66</v>
      </c>
      <c r="N145" s="2" t="s">
        <v>66</v>
      </c>
      <c r="O145" s="2" t="s">
        <v>78</v>
      </c>
      <c r="P145" s="2" t="s">
        <v>66</v>
      </c>
      <c r="Q145" s="2" t="s">
        <v>66</v>
      </c>
      <c r="R145" s="2" t="s">
        <v>72</v>
      </c>
      <c r="S145">
        <v>3</v>
      </c>
      <c r="T145">
        <v>3</v>
      </c>
      <c r="U145">
        <v>4</v>
      </c>
      <c r="V145">
        <v>3</v>
      </c>
      <c r="W145">
        <v>3</v>
      </c>
      <c r="X145">
        <v>4</v>
      </c>
      <c r="Y145" s="2" t="s">
        <v>72</v>
      </c>
      <c r="Z145">
        <v>3</v>
      </c>
      <c r="AA145">
        <v>3</v>
      </c>
      <c r="AB145">
        <v>3</v>
      </c>
      <c r="AC145">
        <v>4</v>
      </c>
      <c r="AD145">
        <v>3</v>
      </c>
      <c r="AE145">
        <v>4</v>
      </c>
      <c r="AF145" s="10" t="s">
        <v>217</v>
      </c>
      <c r="AG145" s="4"/>
      <c r="AH145" s="8">
        <v>143</v>
      </c>
      <c r="AI145">
        <v>0</v>
      </c>
      <c r="AJ145">
        <v>17</v>
      </c>
      <c r="AK145" s="8" t="s">
        <v>315</v>
      </c>
      <c r="AL145" t="s">
        <v>319</v>
      </c>
      <c r="AM145" t="str">
        <f t="shared" si="45"/>
        <v>Lie</v>
      </c>
      <c r="AN145" s="4"/>
      <c r="AO145">
        <f t="shared" si="32"/>
        <v>1</v>
      </c>
      <c r="AP145">
        <f t="shared" si="33"/>
        <v>1</v>
      </c>
      <c r="AQ145">
        <f t="shared" si="34"/>
        <v>1</v>
      </c>
      <c r="AR145">
        <f t="shared" si="35"/>
        <v>7</v>
      </c>
      <c r="AS145">
        <f t="shared" si="46"/>
        <v>1</v>
      </c>
      <c r="AT145">
        <f t="shared" si="36"/>
        <v>1</v>
      </c>
      <c r="AU145">
        <f t="shared" si="37"/>
        <v>1</v>
      </c>
      <c r="AV145" s="19">
        <f t="shared" si="47"/>
        <v>1</v>
      </c>
      <c r="AW145" s="4"/>
      <c r="AY145">
        <v>2</v>
      </c>
      <c r="AZ145">
        <v>2</v>
      </c>
      <c r="BA145">
        <v>0</v>
      </c>
      <c r="BB145">
        <v>1</v>
      </c>
      <c r="BC145">
        <v>6</v>
      </c>
      <c r="BD145">
        <v>1</v>
      </c>
      <c r="BE145">
        <f t="shared" si="38"/>
        <v>14</v>
      </c>
      <c r="BF145">
        <f t="shared" si="39"/>
        <v>0</v>
      </c>
      <c r="BG145">
        <f t="shared" si="40"/>
        <v>14</v>
      </c>
      <c r="BI145">
        <v>3</v>
      </c>
      <c r="BJ145">
        <v>6</v>
      </c>
      <c r="BK145">
        <v>2</v>
      </c>
      <c r="BL145">
        <v>1</v>
      </c>
      <c r="BM145">
        <v>5</v>
      </c>
      <c r="BN145">
        <v>3</v>
      </c>
      <c r="BO145">
        <f t="shared" si="41"/>
        <v>10</v>
      </c>
      <c r="BP145">
        <f t="shared" si="42"/>
        <v>1</v>
      </c>
      <c r="BQ145">
        <f t="shared" si="43"/>
        <v>11</v>
      </c>
      <c r="BR145">
        <f t="shared" si="44"/>
        <v>25</v>
      </c>
    </row>
    <row r="146" spans="1:76" ht="60" x14ac:dyDescent="0.25">
      <c r="A146" s="2" t="s">
        <v>33</v>
      </c>
      <c r="B146">
        <v>100</v>
      </c>
      <c r="C146">
        <v>436</v>
      </c>
      <c r="D146" s="2" t="s">
        <v>62</v>
      </c>
      <c r="E146" s="1">
        <v>44504.428777037036</v>
      </c>
      <c r="F146" s="2" t="s">
        <v>63</v>
      </c>
      <c r="G146" s="2" t="s">
        <v>63</v>
      </c>
      <c r="H146" s="2" t="s">
        <v>63</v>
      </c>
      <c r="I146" s="2" t="s">
        <v>63</v>
      </c>
      <c r="J146" s="2" t="s">
        <v>64</v>
      </c>
      <c r="K146" s="2" t="s">
        <v>65</v>
      </c>
      <c r="L146" s="2" t="s">
        <v>74</v>
      </c>
      <c r="M146" s="2" t="s">
        <v>74</v>
      </c>
      <c r="N146" s="2" t="s">
        <v>71</v>
      </c>
      <c r="O146" s="2" t="s">
        <v>75</v>
      </c>
      <c r="P146" s="2" t="s">
        <v>71</v>
      </c>
      <c r="Q146" s="2" t="s">
        <v>71</v>
      </c>
      <c r="R146" s="2" t="s">
        <v>69</v>
      </c>
      <c r="S146">
        <v>6</v>
      </c>
      <c r="T146">
        <v>5</v>
      </c>
      <c r="U146">
        <v>2</v>
      </c>
      <c r="V146">
        <v>5</v>
      </c>
      <c r="W146">
        <v>2</v>
      </c>
      <c r="X146">
        <v>0</v>
      </c>
      <c r="Y146" s="2" t="s">
        <v>68</v>
      </c>
      <c r="Z146">
        <v>5</v>
      </c>
      <c r="AA146">
        <v>5</v>
      </c>
      <c r="AB146">
        <v>5</v>
      </c>
      <c r="AC146">
        <v>5</v>
      </c>
      <c r="AD146">
        <v>0</v>
      </c>
      <c r="AE146">
        <v>0</v>
      </c>
      <c r="AF146" s="10" t="s">
        <v>218</v>
      </c>
      <c r="AG146" s="4"/>
      <c r="AH146" s="8">
        <v>144</v>
      </c>
      <c r="AI146">
        <v>1</v>
      </c>
      <c r="AJ146">
        <v>1</v>
      </c>
      <c r="AK146" s="8" t="s">
        <v>317</v>
      </c>
      <c r="AL146" t="s">
        <v>320</v>
      </c>
      <c r="AM146" t="str">
        <f t="shared" si="45"/>
        <v>Lie</v>
      </c>
      <c r="AN146" s="4"/>
      <c r="AO146">
        <f t="shared" si="32"/>
        <v>3</v>
      </c>
      <c r="AP146">
        <f t="shared" si="33"/>
        <v>3</v>
      </c>
      <c r="AQ146">
        <f t="shared" si="34"/>
        <v>2</v>
      </c>
      <c r="AR146">
        <f t="shared" si="35"/>
        <v>4</v>
      </c>
      <c r="AS146">
        <f t="shared" si="46"/>
        <v>4</v>
      </c>
      <c r="AT146">
        <f t="shared" si="36"/>
        <v>2</v>
      </c>
      <c r="AU146">
        <f t="shared" si="37"/>
        <v>2</v>
      </c>
      <c r="AV146" s="19">
        <f t="shared" si="47"/>
        <v>2.6666666666666665</v>
      </c>
      <c r="AW146" s="4"/>
      <c r="AY146">
        <v>3</v>
      </c>
      <c r="AZ146">
        <v>3</v>
      </c>
      <c r="BA146">
        <v>6</v>
      </c>
      <c r="BB146">
        <v>3</v>
      </c>
      <c r="BC146">
        <v>4</v>
      </c>
      <c r="BD146">
        <v>1</v>
      </c>
      <c r="BE146">
        <f t="shared" si="38"/>
        <v>14</v>
      </c>
      <c r="BF146">
        <f t="shared" si="39"/>
        <v>1</v>
      </c>
      <c r="BG146">
        <f t="shared" si="40"/>
        <v>15</v>
      </c>
      <c r="BI146">
        <v>4</v>
      </c>
      <c r="BJ146">
        <v>3</v>
      </c>
      <c r="BK146">
        <v>5</v>
      </c>
      <c r="BL146">
        <v>3</v>
      </c>
      <c r="BM146">
        <v>4</v>
      </c>
      <c r="BN146">
        <v>1</v>
      </c>
      <c r="BO146">
        <f t="shared" si="41"/>
        <v>10</v>
      </c>
      <c r="BP146">
        <f t="shared" si="42"/>
        <v>1</v>
      </c>
      <c r="BQ146">
        <f t="shared" si="43"/>
        <v>11</v>
      </c>
      <c r="BR146">
        <f t="shared" si="44"/>
        <v>26</v>
      </c>
    </row>
    <row r="147" spans="1:76" ht="30" x14ac:dyDescent="0.25">
      <c r="A147" s="2" t="s">
        <v>33</v>
      </c>
      <c r="B147">
        <v>100</v>
      </c>
      <c r="C147">
        <v>263</v>
      </c>
      <c r="D147" s="2" t="s">
        <v>62</v>
      </c>
      <c r="E147" s="1">
        <v>44508.078629027776</v>
      </c>
      <c r="F147" s="2" t="s">
        <v>63</v>
      </c>
      <c r="G147" s="2" t="s">
        <v>63</v>
      </c>
      <c r="H147" s="2" t="s">
        <v>63</v>
      </c>
      <c r="I147" s="2" t="s">
        <v>63</v>
      </c>
      <c r="J147" s="2" t="s">
        <v>64</v>
      </c>
      <c r="K147" s="2" t="s">
        <v>65</v>
      </c>
      <c r="L147" s="2" t="s">
        <v>66</v>
      </c>
      <c r="M147" s="2" t="s">
        <v>71</v>
      </c>
      <c r="N147" s="2" t="s">
        <v>66</v>
      </c>
      <c r="O147" s="2" t="s">
        <v>67</v>
      </c>
      <c r="P147" s="2" t="s">
        <v>71</v>
      </c>
      <c r="Q147" s="2" t="s">
        <v>71</v>
      </c>
      <c r="R147" s="2" t="s">
        <v>72</v>
      </c>
      <c r="S147">
        <v>2</v>
      </c>
      <c r="T147">
        <v>4</v>
      </c>
      <c r="U147">
        <v>5</v>
      </c>
      <c r="V147">
        <v>5</v>
      </c>
      <c r="W147">
        <v>2</v>
      </c>
      <c r="X147">
        <v>2</v>
      </c>
      <c r="Y147" s="2" t="s">
        <v>69</v>
      </c>
      <c r="Z147">
        <v>2</v>
      </c>
      <c r="AA147">
        <v>4</v>
      </c>
      <c r="AB147">
        <v>5</v>
      </c>
      <c r="AC147">
        <v>5</v>
      </c>
      <c r="AD147">
        <v>2</v>
      </c>
      <c r="AE147">
        <v>2</v>
      </c>
      <c r="AF147" s="10" t="s">
        <v>219</v>
      </c>
      <c r="AG147" s="4"/>
      <c r="AH147" s="8">
        <v>145</v>
      </c>
      <c r="AI147">
        <v>0</v>
      </c>
      <c r="AJ147">
        <v>0</v>
      </c>
      <c r="AK147" s="8" t="s">
        <v>315</v>
      </c>
      <c r="AL147" t="s">
        <v>316</v>
      </c>
      <c r="AM147" t="str">
        <f t="shared" si="45"/>
        <v>Honest</v>
      </c>
      <c r="AN147" s="4"/>
      <c r="AO147">
        <f t="shared" si="32"/>
        <v>1</v>
      </c>
      <c r="AP147">
        <f t="shared" si="33"/>
        <v>2</v>
      </c>
      <c r="AQ147">
        <f t="shared" si="34"/>
        <v>1</v>
      </c>
      <c r="AR147">
        <f t="shared" si="35"/>
        <v>6</v>
      </c>
      <c r="AS147">
        <f t="shared" si="46"/>
        <v>2</v>
      </c>
      <c r="AT147">
        <f t="shared" si="36"/>
        <v>2</v>
      </c>
      <c r="AU147">
        <f t="shared" si="37"/>
        <v>2</v>
      </c>
      <c r="AV147" s="19">
        <f t="shared" si="47"/>
        <v>1.6666666666666667</v>
      </c>
      <c r="AW147" s="4"/>
      <c r="AY147">
        <v>7</v>
      </c>
      <c r="AZ147">
        <v>3</v>
      </c>
      <c r="BA147">
        <v>2</v>
      </c>
      <c r="BB147">
        <v>2</v>
      </c>
      <c r="BC147">
        <v>4</v>
      </c>
      <c r="BD147">
        <v>2</v>
      </c>
      <c r="BE147">
        <f t="shared" si="38"/>
        <v>14</v>
      </c>
      <c r="BF147">
        <f t="shared" si="39"/>
        <v>0</v>
      </c>
      <c r="BG147">
        <f t="shared" si="40"/>
        <v>14</v>
      </c>
      <c r="BI147">
        <v>7</v>
      </c>
      <c r="BJ147">
        <v>3</v>
      </c>
      <c r="BK147">
        <v>2</v>
      </c>
      <c r="BL147">
        <v>2</v>
      </c>
      <c r="BM147">
        <v>4</v>
      </c>
      <c r="BN147">
        <v>2</v>
      </c>
      <c r="BO147">
        <f t="shared" si="41"/>
        <v>14</v>
      </c>
      <c r="BP147">
        <f t="shared" si="42"/>
        <v>0</v>
      </c>
      <c r="BQ147">
        <f t="shared" si="43"/>
        <v>14</v>
      </c>
      <c r="BR147">
        <f t="shared" si="44"/>
        <v>28</v>
      </c>
    </row>
    <row r="148" spans="1:76" ht="60" x14ac:dyDescent="0.25">
      <c r="A148" s="2" t="s">
        <v>33</v>
      </c>
      <c r="B148">
        <v>100</v>
      </c>
      <c r="C148">
        <v>201</v>
      </c>
      <c r="D148" s="2" t="s">
        <v>62</v>
      </c>
      <c r="E148" s="1">
        <v>44509.048282777774</v>
      </c>
      <c r="F148" s="2" t="s">
        <v>63</v>
      </c>
      <c r="G148" s="2" t="s">
        <v>63</v>
      </c>
      <c r="H148" s="2" t="s">
        <v>63</v>
      </c>
      <c r="I148" s="2" t="s">
        <v>63</v>
      </c>
      <c r="J148" s="2" t="s">
        <v>64</v>
      </c>
      <c r="K148" s="2" t="s">
        <v>65</v>
      </c>
      <c r="L148" s="2" t="s">
        <v>71</v>
      </c>
      <c r="M148" s="2" t="s">
        <v>75</v>
      </c>
      <c r="N148" s="2" t="s">
        <v>71</v>
      </c>
      <c r="O148" s="2" t="s">
        <v>74</v>
      </c>
      <c r="P148" s="2" t="s">
        <v>81</v>
      </c>
      <c r="Q148" s="2" t="s">
        <v>81</v>
      </c>
      <c r="R148" s="2" t="s">
        <v>72</v>
      </c>
      <c r="S148">
        <v>3</v>
      </c>
      <c r="T148">
        <v>4</v>
      </c>
      <c r="U148">
        <v>5</v>
      </c>
      <c r="V148">
        <v>4</v>
      </c>
      <c r="W148">
        <v>3</v>
      </c>
      <c r="X148">
        <v>1</v>
      </c>
      <c r="Y148" s="2" t="s">
        <v>68</v>
      </c>
      <c r="Z148">
        <v>1</v>
      </c>
      <c r="AA148">
        <v>4</v>
      </c>
      <c r="AB148">
        <v>5</v>
      </c>
      <c r="AC148">
        <v>4</v>
      </c>
      <c r="AD148">
        <v>4</v>
      </c>
      <c r="AE148">
        <v>2</v>
      </c>
      <c r="AF148" s="10" t="s">
        <v>220</v>
      </c>
      <c r="AG148" s="4"/>
      <c r="AH148" s="8">
        <v>146</v>
      </c>
      <c r="AI148">
        <v>16</v>
      </c>
      <c r="AJ148">
        <v>0</v>
      </c>
      <c r="AK148" s="8" t="s">
        <v>317</v>
      </c>
      <c r="AL148" t="s">
        <v>318</v>
      </c>
      <c r="AM148" t="str">
        <f t="shared" si="45"/>
        <v>Honest</v>
      </c>
      <c r="AN148" s="4"/>
      <c r="AO148">
        <f t="shared" si="32"/>
        <v>2</v>
      </c>
      <c r="AP148">
        <f t="shared" si="33"/>
        <v>4</v>
      </c>
      <c r="AQ148">
        <f t="shared" si="34"/>
        <v>2</v>
      </c>
      <c r="AR148">
        <f t="shared" si="35"/>
        <v>3</v>
      </c>
      <c r="AS148">
        <f t="shared" si="46"/>
        <v>5</v>
      </c>
      <c r="AT148">
        <f t="shared" si="36"/>
        <v>5</v>
      </c>
      <c r="AU148">
        <f t="shared" si="37"/>
        <v>5</v>
      </c>
      <c r="AV148" s="19">
        <f t="shared" si="47"/>
        <v>3.8333333333333335</v>
      </c>
      <c r="AW148" s="4"/>
      <c r="AY148">
        <v>1</v>
      </c>
      <c r="AZ148">
        <v>6</v>
      </c>
      <c r="BA148">
        <v>2</v>
      </c>
      <c r="BB148">
        <v>0</v>
      </c>
      <c r="BC148">
        <v>7</v>
      </c>
      <c r="BD148">
        <v>4</v>
      </c>
      <c r="BE148">
        <f t="shared" si="38"/>
        <v>18</v>
      </c>
      <c r="BF148">
        <f t="shared" si="39"/>
        <v>0</v>
      </c>
      <c r="BG148">
        <f t="shared" si="40"/>
        <v>18</v>
      </c>
      <c r="BI148">
        <v>1</v>
      </c>
      <c r="BJ148">
        <v>6</v>
      </c>
      <c r="BK148">
        <v>2</v>
      </c>
      <c r="BL148">
        <v>1</v>
      </c>
      <c r="BM148">
        <v>6</v>
      </c>
      <c r="BN148">
        <v>4</v>
      </c>
      <c r="BO148">
        <f t="shared" si="41"/>
        <v>12</v>
      </c>
      <c r="BP148">
        <f t="shared" si="42"/>
        <v>1</v>
      </c>
      <c r="BQ148">
        <f t="shared" si="43"/>
        <v>13</v>
      </c>
      <c r="BR148">
        <f t="shared" si="44"/>
        <v>31</v>
      </c>
    </row>
    <row r="149" spans="1:76" ht="60" x14ac:dyDescent="0.25">
      <c r="A149" s="2" t="s">
        <v>33</v>
      </c>
      <c r="B149">
        <v>100</v>
      </c>
      <c r="C149">
        <v>274</v>
      </c>
      <c r="D149" s="2" t="s">
        <v>62</v>
      </c>
      <c r="E149" s="1">
        <v>44509.55208115741</v>
      </c>
      <c r="F149" s="2" t="s">
        <v>63</v>
      </c>
      <c r="G149" s="2" t="s">
        <v>63</v>
      </c>
      <c r="H149" s="2" t="s">
        <v>63</v>
      </c>
      <c r="I149" s="2" t="s">
        <v>63</v>
      </c>
      <c r="J149" s="2" t="s">
        <v>64</v>
      </c>
      <c r="K149" s="2" t="s">
        <v>65</v>
      </c>
      <c r="L149" s="2" t="s">
        <v>71</v>
      </c>
      <c r="M149" s="2" t="s">
        <v>74</v>
      </c>
      <c r="N149" s="2" t="s">
        <v>71</v>
      </c>
      <c r="O149" s="2" t="s">
        <v>81</v>
      </c>
      <c r="P149" s="2" t="s">
        <v>75</v>
      </c>
      <c r="Q149" s="2" t="s">
        <v>71</v>
      </c>
      <c r="R149" s="2" t="s">
        <v>69</v>
      </c>
      <c r="S149">
        <v>4</v>
      </c>
      <c r="T149">
        <v>5</v>
      </c>
      <c r="U149">
        <v>2</v>
      </c>
      <c r="V149">
        <v>4</v>
      </c>
      <c r="W149">
        <v>2</v>
      </c>
      <c r="X149">
        <v>3</v>
      </c>
      <c r="Y149" s="2" t="s">
        <v>68</v>
      </c>
      <c r="Z149">
        <v>5</v>
      </c>
      <c r="AA149">
        <v>3</v>
      </c>
      <c r="AB149">
        <v>2</v>
      </c>
      <c r="AC149">
        <v>4</v>
      </c>
      <c r="AD149">
        <v>4</v>
      </c>
      <c r="AE149">
        <v>2</v>
      </c>
      <c r="AF149" s="10" t="s">
        <v>221</v>
      </c>
      <c r="AG149" s="4"/>
      <c r="AH149" s="8">
        <v>147</v>
      </c>
      <c r="AI149">
        <v>0</v>
      </c>
      <c r="AJ149">
        <v>0</v>
      </c>
      <c r="AK149" s="8" t="s">
        <v>315</v>
      </c>
      <c r="AL149" t="s">
        <v>316</v>
      </c>
      <c r="AM149" t="str">
        <f t="shared" si="45"/>
        <v>Honest</v>
      </c>
      <c r="AN149" s="4"/>
      <c r="AO149">
        <f t="shared" si="32"/>
        <v>2</v>
      </c>
      <c r="AP149">
        <f t="shared" si="33"/>
        <v>3</v>
      </c>
      <c r="AQ149">
        <f t="shared" si="34"/>
        <v>2</v>
      </c>
      <c r="AR149">
        <f t="shared" si="35"/>
        <v>5</v>
      </c>
      <c r="AS149">
        <f t="shared" si="46"/>
        <v>3</v>
      </c>
      <c r="AT149">
        <f t="shared" si="36"/>
        <v>4</v>
      </c>
      <c r="AU149">
        <f t="shared" si="37"/>
        <v>2</v>
      </c>
      <c r="AV149" s="19">
        <f t="shared" si="47"/>
        <v>2.6666666666666665</v>
      </c>
      <c r="AW149" s="4"/>
      <c r="AY149">
        <v>3</v>
      </c>
      <c r="AZ149">
        <v>5</v>
      </c>
      <c r="BA149">
        <v>3</v>
      </c>
      <c r="BB149">
        <v>3</v>
      </c>
      <c r="BC149">
        <v>3</v>
      </c>
      <c r="BD149">
        <v>3</v>
      </c>
      <c r="BE149">
        <f t="shared" si="38"/>
        <v>4</v>
      </c>
      <c r="BF149">
        <f t="shared" si="39"/>
        <v>1</v>
      </c>
      <c r="BG149">
        <f t="shared" si="40"/>
        <v>5</v>
      </c>
      <c r="BI149">
        <v>3</v>
      </c>
      <c r="BJ149">
        <v>5</v>
      </c>
      <c r="BK149">
        <v>3</v>
      </c>
      <c r="BL149">
        <v>3</v>
      </c>
      <c r="BM149">
        <v>3</v>
      </c>
      <c r="BN149">
        <v>3</v>
      </c>
      <c r="BO149">
        <f t="shared" si="41"/>
        <v>8</v>
      </c>
      <c r="BP149">
        <f t="shared" si="42"/>
        <v>1</v>
      </c>
      <c r="BQ149">
        <f t="shared" si="43"/>
        <v>9</v>
      </c>
      <c r="BR149">
        <f t="shared" si="44"/>
        <v>14</v>
      </c>
    </row>
    <row r="150" spans="1:76" ht="30" x14ac:dyDescent="0.25">
      <c r="A150" s="2" t="s">
        <v>33</v>
      </c>
      <c r="B150">
        <v>100</v>
      </c>
      <c r="C150">
        <v>182</v>
      </c>
      <c r="D150" s="2" t="s">
        <v>62</v>
      </c>
      <c r="E150" s="1">
        <v>44513.450216238423</v>
      </c>
      <c r="F150" s="2" t="s">
        <v>63</v>
      </c>
      <c r="G150" s="2" t="s">
        <v>63</v>
      </c>
      <c r="H150" s="2" t="s">
        <v>63</v>
      </c>
      <c r="I150" s="2" t="s">
        <v>63</v>
      </c>
      <c r="J150" s="2" t="s">
        <v>64</v>
      </c>
      <c r="K150" s="2" t="s">
        <v>65</v>
      </c>
      <c r="L150" s="2" t="s">
        <v>71</v>
      </c>
      <c r="M150" s="2" t="s">
        <v>71</v>
      </c>
      <c r="N150" s="2" t="s">
        <v>66</v>
      </c>
      <c r="O150" s="2" t="s">
        <v>78</v>
      </c>
      <c r="P150" s="2" t="s">
        <v>74</v>
      </c>
      <c r="Q150" s="2" t="s">
        <v>71</v>
      </c>
      <c r="R150" s="2" t="s">
        <v>72</v>
      </c>
      <c r="S150">
        <v>5</v>
      </c>
      <c r="T150">
        <v>3</v>
      </c>
      <c r="U150">
        <v>0</v>
      </c>
      <c r="V150">
        <v>4</v>
      </c>
      <c r="W150">
        <v>5</v>
      </c>
      <c r="X150">
        <v>3</v>
      </c>
      <c r="Y150" s="2" t="s">
        <v>72</v>
      </c>
      <c r="Z150">
        <v>5</v>
      </c>
      <c r="AA150">
        <v>3</v>
      </c>
      <c r="AB150">
        <v>0</v>
      </c>
      <c r="AC150">
        <v>4</v>
      </c>
      <c r="AD150">
        <v>5</v>
      </c>
      <c r="AE150">
        <v>3</v>
      </c>
      <c r="AF150" s="10" t="s">
        <v>222</v>
      </c>
      <c r="AG150" s="4"/>
      <c r="AH150" s="8">
        <v>148</v>
      </c>
      <c r="AI150">
        <v>1</v>
      </c>
      <c r="AJ150">
        <v>0</v>
      </c>
      <c r="AK150" s="8" t="s">
        <v>315</v>
      </c>
      <c r="AL150" t="s">
        <v>316</v>
      </c>
      <c r="AM150" t="str">
        <f t="shared" si="45"/>
        <v>Honest</v>
      </c>
      <c r="AN150" s="4"/>
      <c r="AO150">
        <f t="shared" si="32"/>
        <v>2</v>
      </c>
      <c r="AP150">
        <f t="shared" si="33"/>
        <v>2</v>
      </c>
      <c r="AQ150">
        <f t="shared" si="34"/>
        <v>1</v>
      </c>
      <c r="AR150">
        <f t="shared" si="35"/>
        <v>7</v>
      </c>
      <c r="AS150">
        <f t="shared" si="46"/>
        <v>1</v>
      </c>
      <c r="AT150">
        <f t="shared" si="36"/>
        <v>3</v>
      </c>
      <c r="AU150">
        <f t="shared" si="37"/>
        <v>2</v>
      </c>
      <c r="AV150" s="19">
        <f t="shared" si="47"/>
        <v>1.8333333333333333</v>
      </c>
      <c r="AW150" s="4"/>
      <c r="AY150">
        <v>7</v>
      </c>
      <c r="AZ150">
        <v>1</v>
      </c>
      <c r="BA150">
        <v>1</v>
      </c>
      <c r="BB150">
        <v>3</v>
      </c>
      <c r="BC150">
        <v>4</v>
      </c>
      <c r="BD150">
        <v>4</v>
      </c>
      <c r="BE150">
        <f t="shared" si="38"/>
        <v>8</v>
      </c>
      <c r="BF150">
        <f t="shared" si="39"/>
        <v>0</v>
      </c>
      <c r="BG150">
        <f t="shared" si="40"/>
        <v>8</v>
      </c>
      <c r="BI150">
        <v>7</v>
      </c>
      <c r="BJ150">
        <v>1</v>
      </c>
      <c r="BK150">
        <v>1</v>
      </c>
      <c r="BL150">
        <v>3</v>
      </c>
      <c r="BM150">
        <v>4</v>
      </c>
      <c r="BN150">
        <v>4</v>
      </c>
      <c r="BO150">
        <f t="shared" si="41"/>
        <v>8</v>
      </c>
      <c r="BP150">
        <f t="shared" si="42"/>
        <v>1</v>
      </c>
      <c r="BQ150">
        <f t="shared" si="43"/>
        <v>9</v>
      </c>
      <c r="BR150">
        <f t="shared" si="44"/>
        <v>17</v>
      </c>
    </row>
    <row r="151" spans="1:76" ht="30" x14ac:dyDescent="0.25">
      <c r="A151" s="2" t="s">
        <v>33</v>
      </c>
      <c r="B151">
        <v>100</v>
      </c>
      <c r="C151">
        <v>248</v>
      </c>
      <c r="D151" s="2" t="s">
        <v>62</v>
      </c>
      <c r="E151" s="1">
        <v>44513.487927754628</v>
      </c>
      <c r="F151" s="2" t="s">
        <v>63</v>
      </c>
      <c r="G151" s="2" t="s">
        <v>63</v>
      </c>
      <c r="H151" s="2" t="s">
        <v>63</v>
      </c>
      <c r="I151" s="2" t="s">
        <v>63</v>
      </c>
      <c r="J151" s="2" t="s">
        <v>64</v>
      </c>
      <c r="K151" s="2" t="s">
        <v>65</v>
      </c>
      <c r="L151" s="2" t="s">
        <v>66</v>
      </c>
      <c r="M151" s="2" t="s">
        <v>74</v>
      </c>
      <c r="N151" s="2" t="s">
        <v>66</v>
      </c>
      <c r="O151" s="2" t="s">
        <v>78</v>
      </c>
      <c r="P151" s="2" t="s">
        <v>74</v>
      </c>
      <c r="Q151" s="2" t="s">
        <v>71</v>
      </c>
      <c r="R151" s="2" t="s">
        <v>72</v>
      </c>
      <c r="S151">
        <v>4</v>
      </c>
      <c r="T151">
        <v>5</v>
      </c>
      <c r="U151">
        <v>2</v>
      </c>
      <c r="V151">
        <v>2</v>
      </c>
      <c r="W151">
        <v>4</v>
      </c>
      <c r="X151">
        <v>3</v>
      </c>
      <c r="Y151" s="2" t="s">
        <v>68</v>
      </c>
      <c r="Z151">
        <v>2</v>
      </c>
      <c r="AA151">
        <v>4</v>
      </c>
      <c r="AB151">
        <v>4</v>
      </c>
      <c r="AC151">
        <v>3</v>
      </c>
      <c r="AD151">
        <v>4</v>
      </c>
      <c r="AE151">
        <v>3</v>
      </c>
      <c r="AF151" s="10" t="s">
        <v>223</v>
      </c>
      <c r="AG151" s="4"/>
      <c r="AH151" s="8">
        <v>149</v>
      </c>
      <c r="AI151">
        <v>0</v>
      </c>
      <c r="AJ151">
        <v>0</v>
      </c>
      <c r="AK151" s="8" t="s">
        <v>315</v>
      </c>
      <c r="AL151" t="s">
        <v>316</v>
      </c>
      <c r="AM151" t="str">
        <f t="shared" si="45"/>
        <v>Honest</v>
      </c>
      <c r="AN151" s="4"/>
      <c r="AO151">
        <f t="shared" si="32"/>
        <v>1</v>
      </c>
      <c r="AP151">
        <f t="shared" si="33"/>
        <v>3</v>
      </c>
      <c r="AQ151">
        <f t="shared" si="34"/>
        <v>1</v>
      </c>
      <c r="AR151">
        <f t="shared" si="35"/>
        <v>7</v>
      </c>
      <c r="AS151">
        <f t="shared" si="46"/>
        <v>1</v>
      </c>
      <c r="AT151">
        <f t="shared" si="36"/>
        <v>3</v>
      </c>
      <c r="AU151">
        <f t="shared" si="37"/>
        <v>2</v>
      </c>
      <c r="AV151" s="19">
        <f t="shared" si="47"/>
        <v>1.8333333333333333</v>
      </c>
      <c r="AW151" s="4"/>
      <c r="AY151">
        <v>5</v>
      </c>
      <c r="AZ151">
        <v>4</v>
      </c>
      <c r="BA151">
        <v>4</v>
      </c>
      <c r="BB151">
        <v>3</v>
      </c>
      <c r="BC151">
        <v>2</v>
      </c>
      <c r="BD151">
        <v>2</v>
      </c>
      <c r="BE151">
        <f t="shared" si="38"/>
        <v>8</v>
      </c>
      <c r="BF151">
        <f t="shared" si="39"/>
        <v>0</v>
      </c>
      <c r="BG151">
        <f t="shared" si="40"/>
        <v>8</v>
      </c>
      <c r="BI151">
        <v>5</v>
      </c>
      <c r="BJ151">
        <v>4</v>
      </c>
      <c r="BK151">
        <v>4</v>
      </c>
      <c r="BL151">
        <v>3</v>
      </c>
      <c r="BM151">
        <v>2</v>
      </c>
      <c r="BN151">
        <v>2</v>
      </c>
      <c r="BO151">
        <f t="shared" si="41"/>
        <v>6</v>
      </c>
      <c r="BP151">
        <f t="shared" si="42"/>
        <v>1</v>
      </c>
      <c r="BQ151">
        <f t="shared" si="43"/>
        <v>7</v>
      </c>
      <c r="BR151">
        <f t="shared" si="44"/>
        <v>15</v>
      </c>
    </row>
    <row r="152" spans="1:76" ht="60" x14ac:dyDescent="0.25">
      <c r="A152" s="2" t="s">
        <v>33</v>
      </c>
      <c r="B152">
        <v>100</v>
      </c>
      <c r="C152">
        <v>210</v>
      </c>
      <c r="D152" s="2" t="s">
        <v>62</v>
      </c>
      <c r="E152" s="1">
        <v>44514.621478923611</v>
      </c>
      <c r="F152" s="2" t="s">
        <v>63</v>
      </c>
      <c r="G152" s="2" t="s">
        <v>63</v>
      </c>
      <c r="H152" s="2" t="s">
        <v>63</v>
      </c>
      <c r="I152" s="2" t="s">
        <v>63</v>
      </c>
      <c r="J152" s="2" t="s">
        <v>64</v>
      </c>
      <c r="K152" s="2" t="s">
        <v>65</v>
      </c>
      <c r="L152" s="2" t="s">
        <v>74</v>
      </c>
      <c r="M152" s="2" t="s">
        <v>75</v>
      </c>
      <c r="N152" s="2" t="s">
        <v>74</v>
      </c>
      <c r="O152" s="2" t="s">
        <v>75</v>
      </c>
      <c r="P152" s="2" t="s">
        <v>75</v>
      </c>
      <c r="Q152" s="2" t="s">
        <v>75</v>
      </c>
      <c r="R152" s="2" t="s">
        <v>69</v>
      </c>
      <c r="S152">
        <v>2</v>
      </c>
      <c r="T152">
        <v>4</v>
      </c>
      <c r="U152">
        <v>3</v>
      </c>
      <c r="V152">
        <v>3</v>
      </c>
      <c r="W152">
        <v>4</v>
      </c>
      <c r="X152">
        <v>4</v>
      </c>
      <c r="Y152" s="2" t="s">
        <v>69</v>
      </c>
      <c r="Z152">
        <v>3</v>
      </c>
      <c r="AA152">
        <v>4</v>
      </c>
      <c r="AB152">
        <v>2</v>
      </c>
      <c r="AC152">
        <v>3</v>
      </c>
      <c r="AD152">
        <v>4</v>
      </c>
      <c r="AE152">
        <v>4</v>
      </c>
      <c r="AF152" s="10" t="s">
        <v>224</v>
      </c>
      <c r="AG152" s="4"/>
      <c r="AH152" s="8">
        <v>150</v>
      </c>
      <c r="AI152">
        <v>0</v>
      </c>
      <c r="AJ152">
        <v>1</v>
      </c>
      <c r="AK152" s="8" t="s">
        <v>315</v>
      </c>
      <c r="AL152" t="s">
        <v>319</v>
      </c>
      <c r="AM152" t="str">
        <f t="shared" si="45"/>
        <v>Lie</v>
      </c>
      <c r="AN152" s="4"/>
      <c r="AO152">
        <f t="shared" si="32"/>
        <v>3</v>
      </c>
      <c r="AP152">
        <f t="shared" si="33"/>
        <v>4</v>
      </c>
      <c r="AQ152">
        <f t="shared" si="34"/>
        <v>3</v>
      </c>
      <c r="AR152">
        <f t="shared" si="35"/>
        <v>4</v>
      </c>
      <c r="AS152">
        <f t="shared" si="46"/>
        <v>4</v>
      </c>
      <c r="AT152">
        <f t="shared" si="36"/>
        <v>4</v>
      </c>
      <c r="AU152">
        <f t="shared" si="37"/>
        <v>4</v>
      </c>
      <c r="AV152" s="19">
        <f t="shared" si="47"/>
        <v>3.6666666666666665</v>
      </c>
      <c r="AW152" s="4"/>
      <c r="AY152">
        <v>3</v>
      </c>
      <c r="AZ152">
        <v>3</v>
      </c>
      <c r="BA152">
        <v>3</v>
      </c>
      <c r="BB152">
        <v>0</v>
      </c>
      <c r="BC152">
        <v>3</v>
      </c>
      <c r="BD152">
        <v>8</v>
      </c>
      <c r="BE152">
        <f t="shared" si="38"/>
        <v>10</v>
      </c>
      <c r="BF152">
        <f t="shared" si="39"/>
        <v>1</v>
      </c>
      <c r="BG152">
        <f t="shared" si="40"/>
        <v>11</v>
      </c>
      <c r="BI152">
        <v>3</v>
      </c>
      <c r="BJ152">
        <v>4</v>
      </c>
      <c r="BK152">
        <v>3</v>
      </c>
      <c r="BL152">
        <v>0</v>
      </c>
      <c r="BM152">
        <v>3</v>
      </c>
      <c r="BN152">
        <v>7</v>
      </c>
      <c r="BO152">
        <f t="shared" si="41"/>
        <v>8</v>
      </c>
      <c r="BP152">
        <f t="shared" si="42"/>
        <v>0</v>
      </c>
      <c r="BQ152">
        <f t="shared" si="43"/>
        <v>8</v>
      </c>
      <c r="BR152">
        <f t="shared" si="44"/>
        <v>19</v>
      </c>
    </row>
    <row r="153" spans="1:76" ht="60" x14ac:dyDescent="0.25">
      <c r="A153" s="2" t="s">
        <v>33</v>
      </c>
      <c r="B153">
        <v>100</v>
      </c>
      <c r="C153">
        <v>196</v>
      </c>
      <c r="D153" s="2" t="s">
        <v>62</v>
      </c>
      <c r="E153" s="1">
        <v>44519.171831504631</v>
      </c>
      <c r="F153" s="2" t="s">
        <v>63</v>
      </c>
      <c r="G153" s="2" t="s">
        <v>63</v>
      </c>
      <c r="H153" s="2" t="s">
        <v>63</v>
      </c>
      <c r="I153" s="2" t="s">
        <v>63</v>
      </c>
      <c r="J153" s="2" t="s">
        <v>64</v>
      </c>
      <c r="K153" s="2" t="s">
        <v>65</v>
      </c>
      <c r="L153" s="2" t="s">
        <v>75</v>
      </c>
      <c r="M153" s="2" t="s">
        <v>78</v>
      </c>
      <c r="N153" s="2" t="s">
        <v>71</v>
      </c>
      <c r="O153" s="2" t="s">
        <v>75</v>
      </c>
      <c r="P153" s="2" t="s">
        <v>67</v>
      </c>
      <c r="Q153" s="2" t="s">
        <v>66</v>
      </c>
      <c r="R153" s="2" t="s">
        <v>72</v>
      </c>
      <c r="S153">
        <v>1</v>
      </c>
      <c r="T153">
        <v>5</v>
      </c>
      <c r="U153">
        <v>2</v>
      </c>
      <c r="V153">
        <v>5</v>
      </c>
      <c r="W153">
        <v>3</v>
      </c>
      <c r="X153">
        <v>4</v>
      </c>
      <c r="Y153" s="2" t="s">
        <v>69</v>
      </c>
      <c r="Z153">
        <v>3</v>
      </c>
      <c r="AA153">
        <v>4</v>
      </c>
      <c r="AB153">
        <v>5</v>
      </c>
      <c r="AC153">
        <v>3</v>
      </c>
      <c r="AD153">
        <v>1</v>
      </c>
      <c r="AE153">
        <v>4</v>
      </c>
      <c r="AF153" s="10" t="s">
        <v>225</v>
      </c>
      <c r="AG153" s="4"/>
      <c r="AH153" s="8">
        <v>151</v>
      </c>
      <c r="AI153">
        <v>1</v>
      </c>
      <c r="AJ153">
        <v>6</v>
      </c>
      <c r="AK153" s="8" t="s">
        <v>317</v>
      </c>
      <c r="AL153" t="s">
        <v>320</v>
      </c>
      <c r="AM153" t="str">
        <f t="shared" si="45"/>
        <v>Lie</v>
      </c>
      <c r="AN153" s="4"/>
      <c r="AO153">
        <f t="shared" si="32"/>
        <v>4</v>
      </c>
      <c r="AP153">
        <f t="shared" si="33"/>
        <v>7</v>
      </c>
      <c r="AQ153">
        <f t="shared" si="34"/>
        <v>2</v>
      </c>
      <c r="AR153">
        <f t="shared" si="35"/>
        <v>4</v>
      </c>
      <c r="AS153">
        <f t="shared" si="46"/>
        <v>4</v>
      </c>
      <c r="AT153">
        <f t="shared" si="36"/>
        <v>6</v>
      </c>
      <c r="AU153">
        <f t="shared" si="37"/>
        <v>1</v>
      </c>
      <c r="AV153" s="19">
        <f t="shared" si="47"/>
        <v>4</v>
      </c>
      <c r="AW153" s="4"/>
      <c r="AY153">
        <v>3</v>
      </c>
      <c r="AZ153">
        <v>2</v>
      </c>
      <c r="BA153">
        <v>7</v>
      </c>
      <c r="BB153">
        <v>2</v>
      </c>
      <c r="BC153">
        <v>4</v>
      </c>
      <c r="BD153">
        <v>2</v>
      </c>
      <c r="BE153">
        <f t="shared" si="38"/>
        <v>16</v>
      </c>
      <c r="BF153">
        <f t="shared" si="39"/>
        <v>0</v>
      </c>
      <c r="BG153">
        <f t="shared" si="40"/>
        <v>16</v>
      </c>
      <c r="BI153">
        <v>4</v>
      </c>
      <c r="BJ153">
        <v>4</v>
      </c>
      <c r="BK153">
        <v>3</v>
      </c>
      <c r="BL153">
        <v>1</v>
      </c>
      <c r="BM153">
        <v>5</v>
      </c>
      <c r="BN153">
        <v>3</v>
      </c>
      <c r="BO153">
        <f t="shared" si="41"/>
        <v>10</v>
      </c>
      <c r="BP153">
        <f t="shared" si="42"/>
        <v>0</v>
      </c>
      <c r="BQ153">
        <f t="shared" si="43"/>
        <v>10</v>
      </c>
      <c r="BR153">
        <f t="shared" si="44"/>
        <v>26</v>
      </c>
    </row>
    <row r="154" spans="1:76" s="4" customFormat="1" ht="60" x14ac:dyDescent="0.25">
      <c r="A154" s="2" t="s">
        <v>33</v>
      </c>
      <c r="B154">
        <v>100</v>
      </c>
      <c r="C154">
        <v>333</v>
      </c>
      <c r="D154" s="2" t="s">
        <v>62</v>
      </c>
      <c r="E154" s="1">
        <v>44523.32450127315</v>
      </c>
      <c r="F154" s="2" t="s">
        <v>63</v>
      </c>
      <c r="G154" s="2" t="s">
        <v>63</v>
      </c>
      <c r="H154" s="2" t="s">
        <v>63</v>
      </c>
      <c r="I154" s="2" t="s">
        <v>63</v>
      </c>
      <c r="J154" s="2" t="s">
        <v>64</v>
      </c>
      <c r="K154" s="2" t="s">
        <v>65</v>
      </c>
      <c r="L154" s="2" t="s">
        <v>71</v>
      </c>
      <c r="M154" s="2" t="s">
        <v>75</v>
      </c>
      <c r="N154" s="2" t="s">
        <v>74</v>
      </c>
      <c r="O154" s="2" t="s">
        <v>75</v>
      </c>
      <c r="P154" s="2" t="s">
        <v>74</v>
      </c>
      <c r="Q154" s="2" t="s">
        <v>74</v>
      </c>
      <c r="R154" s="2" t="s">
        <v>69</v>
      </c>
      <c r="S154">
        <v>3</v>
      </c>
      <c r="T154">
        <v>4</v>
      </c>
      <c r="U154">
        <v>2</v>
      </c>
      <c r="V154">
        <v>3</v>
      </c>
      <c r="W154">
        <v>5</v>
      </c>
      <c r="X154">
        <v>3</v>
      </c>
      <c r="Y154" s="2" t="s">
        <v>69</v>
      </c>
      <c r="Z154">
        <v>3</v>
      </c>
      <c r="AA154">
        <v>2</v>
      </c>
      <c r="AB154">
        <v>4</v>
      </c>
      <c r="AC154">
        <v>2</v>
      </c>
      <c r="AD154">
        <v>5</v>
      </c>
      <c r="AE154">
        <v>4</v>
      </c>
      <c r="AF154" s="10" t="s">
        <v>226</v>
      </c>
      <c r="AH154" s="8">
        <v>152</v>
      </c>
      <c r="AI154">
        <v>2</v>
      </c>
      <c r="AJ154">
        <v>12</v>
      </c>
      <c r="AK154" s="8" t="s">
        <v>317</v>
      </c>
      <c r="AL154" t="s">
        <v>320</v>
      </c>
      <c r="AM154" t="str">
        <f t="shared" si="45"/>
        <v>Lie</v>
      </c>
      <c r="AO154">
        <f t="shared" si="32"/>
        <v>2</v>
      </c>
      <c r="AP154">
        <f t="shared" si="33"/>
        <v>4</v>
      </c>
      <c r="AQ154">
        <f t="shared" si="34"/>
        <v>3</v>
      </c>
      <c r="AR154">
        <f t="shared" si="35"/>
        <v>4</v>
      </c>
      <c r="AS154">
        <f t="shared" si="46"/>
        <v>4</v>
      </c>
      <c r="AT154">
        <f t="shared" si="36"/>
        <v>3</v>
      </c>
      <c r="AU154">
        <f t="shared" si="37"/>
        <v>3</v>
      </c>
      <c r="AV154" s="19">
        <f t="shared" si="47"/>
        <v>3.1666666666666665</v>
      </c>
      <c r="AX154"/>
      <c r="AY154">
        <v>4</v>
      </c>
      <c r="AZ154">
        <v>5</v>
      </c>
      <c r="BA154">
        <v>4</v>
      </c>
      <c r="BB154">
        <v>0</v>
      </c>
      <c r="BC154">
        <v>2</v>
      </c>
      <c r="BD154">
        <v>3</v>
      </c>
      <c r="BE154">
        <f t="shared" si="38"/>
        <v>10</v>
      </c>
      <c r="BF154">
        <f t="shared" si="39"/>
        <v>1</v>
      </c>
      <c r="BG154">
        <f t="shared" si="40"/>
        <v>11</v>
      </c>
      <c r="BH154" s="8"/>
      <c r="BI154">
        <v>2</v>
      </c>
      <c r="BJ154">
        <v>9</v>
      </c>
      <c r="BK154">
        <v>1</v>
      </c>
      <c r="BL154">
        <v>1</v>
      </c>
      <c r="BM154">
        <v>4</v>
      </c>
      <c r="BN154">
        <v>3</v>
      </c>
      <c r="BO154">
        <f t="shared" si="41"/>
        <v>14</v>
      </c>
      <c r="BP154">
        <f t="shared" si="42"/>
        <v>0</v>
      </c>
      <c r="BQ154">
        <f t="shared" si="43"/>
        <v>14</v>
      </c>
      <c r="BR154">
        <f t="shared" si="44"/>
        <v>25</v>
      </c>
      <c r="BS154" s="8"/>
      <c r="BT154" s="8"/>
      <c r="BU154" s="8"/>
      <c r="BV154" s="8"/>
      <c r="BW154" s="8"/>
      <c r="BX154" s="8"/>
    </row>
    <row r="155" spans="1:76" ht="60" x14ac:dyDescent="0.25">
      <c r="A155" s="2" t="s">
        <v>33</v>
      </c>
      <c r="B155">
        <v>100</v>
      </c>
      <c r="C155">
        <v>178</v>
      </c>
      <c r="D155" s="2" t="s">
        <v>62</v>
      </c>
      <c r="E155" s="1">
        <v>44524.165543877316</v>
      </c>
      <c r="F155" s="2" t="s">
        <v>63</v>
      </c>
      <c r="G155" s="2" t="s">
        <v>63</v>
      </c>
      <c r="H155" s="2" t="s">
        <v>63</v>
      </c>
      <c r="I155" s="2" t="s">
        <v>63</v>
      </c>
      <c r="J155" s="2" t="s">
        <v>64</v>
      </c>
      <c r="K155" s="2" t="s">
        <v>65</v>
      </c>
      <c r="L155" s="2" t="s">
        <v>71</v>
      </c>
      <c r="M155" s="2" t="s">
        <v>74</v>
      </c>
      <c r="N155" s="2" t="s">
        <v>71</v>
      </c>
      <c r="O155" s="2" t="s">
        <v>75</v>
      </c>
      <c r="P155" s="2" t="s">
        <v>71</v>
      </c>
      <c r="Q155" s="2" t="s">
        <v>71</v>
      </c>
      <c r="R155" s="2" t="s">
        <v>69</v>
      </c>
      <c r="S155">
        <v>4</v>
      </c>
      <c r="T155">
        <v>4</v>
      </c>
      <c r="U155">
        <v>5</v>
      </c>
      <c r="V155">
        <v>3</v>
      </c>
      <c r="W155">
        <v>2</v>
      </c>
      <c r="X155">
        <v>2</v>
      </c>
      <c r="Y155" s="2" t="s">
        <v>114</v>
      </c>
      <c r="Z155">
        <v>6</v>
      </c>
      <c r="AA155">
        <v>4</v>
      </c>
      <c r="AB155">
        <v>9</v>
      </c>
      <c r="AC155">
        <v>1</v>
      </c>
      <c r="AD155">
        <v>0</v>
      </c>
      <c r="AE155">
        <v>0</v>
      </c>
      <c r="AF155" s="10" t="s">
        <v>227</v>
      </c>
      <c r="AG155" s="4"/>
      <c r="AH155" s="8">
        <v>153</v>
      </c>
      <c r="AI155">
        <v>1</v>
      </c>
      <c r="AJ155">
        <v>4</v>
      </c>
      <c r="AK155" s="8" t="s">
        <v>315</v>
      </c>
      <c r="AL155" t="s">
        <v>319</v>
      </c>
      <c r="AM155" t="str">
        <f t="shared" si="45"/>
        <v>Lie</v>
      </c>
      <c r="AN155" s="4"/>
      <c r="AO155">
        <f t="shared" si="32"/>
        <v>2</v>
      </c>
      <c r="AP155">
        <f t="shared" si="33"/>
        <v>3</v>
      </c>
      <c r="AQ155">
        <f t="shared" si="34"/>
        <v>2</v>
      </c>
      <c r="AR155">
        <f t="shared" si="35"/>
        <v>4</v>
      </c>
      <c r="AS155">
        <f t="shared" si="46"/>
        <v>4</v>
      </c>
      <c r="AT155">
        <f t="shared" si="36"/>
        <v>2</v>
      </c>
      <c r="AU155">
        <f t="shared" si="37"/>
        <v>2</v>
      </c>
      <c r="AV155" s="19">
        <f t="shared" si="47"/>
        <v>2.5</v>
      </c>
      <c r="AW155" s="4"/>
      <c r="AY155">
        <v>3</v>
      </c>
      <c r="AZ155">
        <v>1</v>
      </c>
      <c r="BA155">
        <v>5</v>
      </c>
      <c r="BB155">
        <v>3</v>
      </c>
      <c r="BC155">
        <v>2</v>
      </c>
      <c r="BD155">
        <v>6</v>
      </c>
      <c r="BE155">
        <f t="shared" si="38"/>
        <v>8</v>
      </c>
      <c r="BF155">
        <f t="shared" si="39"/>
        <v>1</v>
      </c>
      <c r="BG155">
        <f t="shared" si="40"/>
        <v>9</v>
      </c>
      <c r="BI155">
        <v>2</v>
      </c>
      <c r="BJ155">
        <v>2</v>
      </c>
      <c r="BK155">
        <v>6</v>
      </c>
      <c r="BL155">
        <v>3</v>
      </c>
      <c r="BM155">
        <v>3</v>
      </c>
      <c r="BN155">
        <v>4</v>
      </c>
      <c r="BO155">
        <f t="shared" si="41"/>
        <v>18</v>
      </c>
      <c r="BP155">
        <f t="shared" si="42"/>
        <v>1</v>
      </c>
      <c r="BQ155">
        <f t="shared" si="43"/>
        <v>19</v>
      </c>
      <c r="BR155">
        <f t="shared" si="44"/>
        <v>28</v>
      </c>
    </row>
    <row r="156" spans="1:76" ht="45" x14ac:dyDescent="0.25">
      <c r="A156" s="2" t="s">
        <v>33</v>
      </c>
      <c r="B156">
        <v>100</v>
      </c>
      <c r="C156">
        <v>497</v>
      </c>
      <c r="D156" s="2" t="s">
        <v>62</v>
      </c>
      <c r="E156" s="1">
        <v>44528.488417627312</v>
      </c>
      <c r="F156" s="2" t="s">
        <v>63</v>
      </c>
      <c r="G156" s="2" t="s">
        <v>63</v>
      </c>
      <c r="H156" s="2" t="s">
        <v>63</v>
      </c>
      <c r="I156" s="2" t="s">
        <v>63</v>
      </c>
      <c r="J156" s="2" t="s">
        <v>64</v>
      </c>
      <c r="K156" s="2" t="s">
        <v>65</v>
      </c>
      <c r="L156" s="2" t="s">
        <v>66</v>
      </c>
      <c r="M156" s="2" t="s">
        <v>81</v>
      </c>
      <c r="N156" s="2" t="s">
        <v>66</v>
      </c>
      <c r="O156" s="2" t="s">
        <v>67</v>
      </c>
      <c r="P156" s="2" t="s">
        <v>74</v>
      </c>
      <c r="Q156" s="2" t="s">
        <v>67</v>
      </c>
      <c r="R156" s="2" t="s">
        <v>68</v>
      </c>
      <c r="S156">
        <v>3</v>
      </c>
      <c r="T156">
        <v>4</v>
      </c>
      <c r="U156">
        <v>3</v>
      </c>
      <c r="V156">
        <v>4</v>
      </c>
      <c r="W156">
        <v>3</v>
      </c>
      <c r="X156">
        <v>3</v>
      </c>
      <c r="Y156" s="2" t="s">
        <v>72</v>
      </c>
      <c r="Z156">
        <v>3</v>
      </c>
      <c r="AA156">
        <v>5</v>
      </c>
      <c r="AB156">
        <v>3</v>
      </c>
      <c r="AC156">
        <v>5</v>
      </c>
      <c r="AD156">
        <v>2</v>
      </c>
      <c r="AE156">
        <v>2</v>
      </c>
      <c r="AF156" s="10" t="s">
        <v>228</v>
      </c>
      <c r="AG156" s="4"/>
      <c r="AH156" s="8">
        <v>154</v>
      </c>
      <c r="AI156">
        <v>1</v>
      </c>
      <c r="AJ156">
        <v>0</v>
      </c>
      <c r="AK156" s="8" t="s">
        <v>315</v>
      </c>
      <c r="AL156" t="s">
        <v>316</v>
      </c>
      <c r="AM156" t="str">
        <f t="shared" si="45"/>
        <v>Honest</v>
      </c>
      <c r="AN156" s="4"/>
      <c r="AO156">
        <f t="shared" si="32"/>
        <v>1</v>
      </c>
      <c r="AP156">
        <f t="shared" si="33"/>
        <v>5</v>
      </c>
      <c r="AQ156">
        <f t="shared" si="34"/>
        <v>1</v>
      </c>
      <c r="AR156">
        <f t="shared" si="35"/>
        <v>6</v>
      </c>
      <c r="AS156">
        <f t="shared" si="46"/>
        <v>2</v>
      </c>
      <c r="AT156">
        <f t="shared" si="36"/>
        <v>3</v>
      </c>
      <c r="AU156">
        <f t="shared" si="37"/>
        <v>6</v>
      </c>
      <c r="AV156" s="19">
        <f t="shared" si="47"/>
        <v>3</v>
      </c>
      <c r="AW156" s="4"/>
      <c r="AY156">
        <v>2</v>
      </c>
      <c r="AZ156">
        <v>3</v>
      </c>
      <c r="BA156">
        <v>3</v>
      </c>
      <c r="BB156">
        <v>5</v>
      </c>
      <c r="BC156">
        <v>3</v>
      </c>
      <c r="BD156">
        <v>4</v>
      </c>
      <c r="BE156">
        <f t="shared" si="38"/>
        <v>4</v>
      </c>
      <c r="BF156">
        <f t="shared" si="39"/>
        <v>1</v>
      </c>
      <c r="BG156">
        <f t="shared" si="40"/>
        <v>5</v>
      </c>
      <c r="BI156">
        <v>2</v>
      </c>
      <c r="BJ156">
        <v>3</v>
      </c>
      <c r="BK156">
        <v>3</v>
      </c>
      <c r="BL156">
        <v>5</v>
      </c>
      <c r="BM156">
        <v>3</v>
      </c>
      <c r="BN156">
        <v>4</v>
      </c>
      <c r="BO156">
        <f t="shared" si="41"/>
        <v>6</v>
      </c>
      <c r="BP156">
        <f t="shared" si="42"/>
        <v>1</v>
      </c>
      <c r="BQ156">
        <f t="shared" si="43"/>
        <v>7</v>
      </c>
      <c r="BR156">
        <f t="shared" si="44"/>
        <v>12</v>
      </c>
    </row>
    <row r="157" spans="1:76" ht="45" x14ac:dyDescent="0.25">
      <c r="A157" s="2" t="s">
        <v>33</v>
      </c>
      <c r="B157">
        <v>100</v>
      </c>
      <c r="C157">
        <v>186</v>
      </c>
      <c r="D157" s="2" t="s">
        <v>62</v>
      </c>
      <c r="E157" s="1">
        <v>44528.579745868054</v>
      </c>
      <c r="F157" s="2" t="s">
        <v>63</v>
      </c>
      <c r="G157" s="2" t="s">
        <v>63</v>
      </c>
      <c r="H157" s="2" t="s">
        <v>63</v>
      </c>
      <c r="I157" s="2" t="s">
        <v>63</v>
      </c>
      <c r="J157" s="2" t="s">
        <v>64</v>
      </c>
      <c r="K157" s="2" t="s">
        <v>65</v>
      </c>
      <c r="L157" s="2" t="s">
        <v>66</v>
      </c>
      <c r="M157" s="2" t="s">
        <v>74</v>
      </c>
      <c r="N157" s="2" t="s">
        <v>71</v>
      </c>
      <c r="O157" s="2" t="s">
        <v>81</v>
      </c>
      <c r="P157" s="2" t="s">
        <v>74</v>
      </c>
      <c r="Q157" s="2" t="s">
        <v>81</v>
      </c>
      <c r="R157" s="2" t="s">
        <v>72</v>
      </c>
      <c r="S157">
        <v>4</v>
      </c>
      <c r="T157">
        <v>3</v>
      </c>
      <c r="U157">
        <v>3</v>
      </c>
      <c r="V157">
        <v>1</v>
      </c>
      <c r="W157">
        <v>4</v>
      </c>
      <c r="X157">
        <v>5</v>
      </c>
      <c r="Y157" s="2" t="s">
        <v>72</v>
      </c>
      <c r="Z157">
        <v>4</v>
      </c>
      <c r="AA157">
        <v>3</v>
      </c>
      <c r="AB157">
        <v>3</v>
      </c>
      <c r="AC157">
        <v>1</v>
      </c>
      <c r="AD157">
        <v>5</v>
      </c>
      <c r="AE157">
        <v>4</v>
      </c>
      <c r="AF157" s="10" t="s">
        <v>229</v>
      </c>
      <c r="AG157" s="4"/>
      <c r="AH157" s="8">
        <v>155</v>
      </c>
      <c r="AI157">
        <v>0</v>
      </c>
      <c r="AJ157">
        <v>1</v>
      </c>
      <c r="AK157" s="8" t="s">
        <v>317</v>
      </c>
      <c r="AL157" t="s">
        <v>320</v>
      </c>
      <c r="AM157" t="str">
        <f t="shared" si="45"/>
        <v>Lie</v>
      </c>
      <c r="AN157" s="4"/>
      <c r="AO157">
        <f t="shared" si="32"/>
        <v>1</v>
      </c>
      <c r="AP157">
        <f t="shared" si="33"/>
        <v>3</v>
      </c>
      <c r="AQ157">
        <f t="shared" si="34"/>
        <v>2</v>
      </c>
      <c r="AR157">
        <f t="shared" si="35"/>
        <v>5</v>
      </c>
      <c r="AS157">
        <f t="shared" si="46"/>
        <v>3</v>
      </c>
      <c r="AT157">
        <f t="shared" si="36"/>
        <v>3</v>
      </c>
      <c r="AU157">
        <f t="shared" si="37"/>
        <v>5</v>
      </c>
      <c r="AV157" s="19">
        <f t="shared" si="47"/>
        <v>2.8333333333333335</v>
      </c>
      <c r="AW157" s="4"/>
      <c r="AY157">
        <v>3</v>
      </c>
      <c r="AZ157">
        <v>4</v>
      </c>
      <c r="BA157">
        <v>3</v>
      </c>
      <c r="BB157">
        <v>4</v>
      </c>
      <c r="BC157">
        <v>2</v>
      </c>
      <c r="BD157">
        <v>4</v>
      </c>
      <c r="BE157">
        <f t="shared" si="38"/>
        <v>8</v>
      </c>
      <c r="BF157">
        <f t="shared" si="39"/>
        <v>0</v>
      </c>
      <c r="BG157">
        <f t="shared" si="40"/>
        <v>8</v>
      </c>
      <c r="BI157">
        <v>3</v>
      </c>
      <c r="BJ157">
        <v>5</v>
      </c>
      <c r="BK157">
        <v>2</v>
      </c>
      <c r="BL157">
        <v>4</v>
      </c>
      <c r="BM157">
        <v>2</v>
      </c>
      <c r="BN157">
        <v>4</v>
      </c>
      <c r="BO157">
        <f t="shared" si="41"/>
        <v>10</v>
      </c>
      <c r="BP157">
        <f t="shared" si="42"/>
        <v>1</v>
      </c>
      <c r="BQ157">
        <f t="shared" si="43"/>
        <v>11</v>
      </c>
      <c r="BR157">
        <f t="shared" si="44"/>
        <v>19</v>
      </c>
    </row>
    <row r="158" spans="1:76" ht="60" x14ac:dyDescent="0.25">
      <c r="A158" s="2" t="s">
        <v>33</v>
      </c>
      <c r="B158">
        <v>100</v>
      </c>
      <c r="C158">
        <v>126</v>
      </c>
      <c r="D158" s="2" t="s">
        <v>62</v>
      </c>
      <c r="E158" s="1">
        <v>44530.313985879628</v>
      </c>
      <c r="F158" s="2" t="s">
        <v>63</v>
      </c>
      <c r="G158" s="2" t="s">
        <v>63</v>
      </c>
      <c r="H158" s="2" t="s">
        <v>63</v>
      </c>
      <c r="I158" s="2" t="s">
        <v>63</v>
      </c>
      <c r="J158" s="2" t="s">
        <v>64</v>
      </c>
      <c r="K158" s="2" t="s">
        <v>65</v>
      </c>
      <c r="L158" s="2" t="s">
        <v>74</v>
      </c>
      <c r="M158" s="2" t="s">
        <v>66</v>
      </c>
      <c r="N158" s="2" t="s">
        <v>74</v>
      </c>
      <c r="O158" s="2" t="s">
        <v>75</v>
      </c>
      <c r="P158" s="2" t="s">
        <v>71</v>
      </c>
      <c r="Q158" s="2" t="s">
        <v>71</v>
      </c>
      <c r="R158" s="2" t="s">
        <v>72</v>
      </c>
      <c r="S158">
        <v>3</v>
      </c>
      <c r="T158">
        <v>4</v>
      </c>
      <c r="U158">
        <v>3</v>
      </c>
      <c r="V158">
        <v>4</v>
      </c>
      <c r="W158">
        <v>3</v>
      </c>
      <c r="X158">
        <v>3</v>
      </c>
      <c r="Y158" s="2" t="s">
        <v>68</v>
      </c>
      <c r="Z158">
        <v>4</v>
      </c>
      <c r="AA158">
        <v>4</v>
      </c>
      <c r="AB158">
        <v>4</v>
      </c>
      <c r="AC158">
        <v>2</v>
      </c>
      <c r="AD158">
        <v>3</v>
      </c>
      <c r="AE158">
        <v>3</v>
      </c>
      <c r="AF158" s="10" t="s">
        <v>224</v>
      </c>
      <c r="AG158" s="4"/>
      <c r="AH158" s="8">
        <v>156</v>
      </c>
      <c r="AI158">
        <v>3</v>
      </c>
      <c r="AJ158">
        <v>2</v>
      </c>
      <c r="AK158" s="8" t="s">
        <v>315</v>
      </c>
      <c r="AL158" t="s">
        <v>319</v>
      </c>
      <c r="AM158" t="str">
        <f t="shared" si="45"/>
        <v>Lie</v>
      </c>
      <c r="AN158" s="4"/>
      <c r="AO158">
        <f t="shared" si="32"/>
        <v>3</v>
      </c>
      <c r="AP158">
        <f t="shared" si="33"/>
        <v>1</v>
      </c>
      <c r="AQ158">
        <f t="shared" si="34"/>
        <v>3</v>
      </c>
      <c r="AR158">
        <f t="shared" si="35"/>
        <v>4</v>
      </c>
      <c r="AS158">
        <f t="shared" si="46"/>
        <v>4</v>
      </c>
      <c r="AT158">
        <f t="shared" si="36"/>
        <v>2</v>
      </c>
      <c r="AU158">
        <f t="shared" si="37"/>
        <v>2</v>
      </c>
      <c r="AV158" s="19">
        <f t="shared" si="47"/>
        <v>2.5</v>
      </c>
      <c r="AW158" s="4"/>
      <c r="AY158">
        <v>7</v>
      </c>
      <c r="AZ158">
        <v>2</v>
      </c>
      <c r="BA158">
        <v>3</v>
      </c>
      <c r="BB158">
        <v>4</v>
      </c>
      <c r="BC158">
        <v>2</v>
      </c>
      <c r="BD158">
        <v>2</v>
      </c>
      <c r="BE158">
        <f t="shared" si="38"/>
        <v>8</v>
      </c>
      <c r="BF158">
        <f t="shared" si="39"/>
        <v>0</v>
      </c>
      <c r="BG158">
        <f t="shared" si="40"/>
        <v>8</v>
      </c>
      <c r="BI158">
        <v>7</v>
      </c>
      <c r="BJ158">
        <v>3</v>
      </c>
      <c r="BK158">
        <v>3</v>
      </c>
      <c r="BL158">
        <v>3</v>
      </c>
      <c r="BM158">
        <v>2</v>
      </c>
      <c r="BN158">
        <v>2</v>
      </c>
      <c r="BO158">
        <f t="shared" si="41"/>
        <v>8</v>
      </c>
      <c r="BP158">
        <f t="shared" si="42"/>
        <v>1</v>
      </c>
      <c r="BQ158">
        <f t="shared" si="43"/>
        <v>9</v>
      </c>
      <c r="BR158">
        <f t="shared" si="44"/>
        <v>17</v>
      </c>
    </row>
    <row r="159" spans="1:76" ht="30" x14ac:dyDescent="0.25">
      <c r="A159" s="2" t="s">
        <v>33</v>
      </c>
      <c r="B159">
        <v>100</v>
      </c>
      <c r="C159">
        <v>277</v>
      </c>
      <c r="D159" s="2" t="s">
        <v>62</v>
      </c>
      <c r="E159" s="1">
        <v>44531.294666527778</v>
      </c>
      <c r="F159" s="2" t="s">
        <v>63</v>
      </c>
      <c r="G159" s="2" t="s">
        <v>63</v>
      </c>
      <c r="H159" s="2" t="s">
        <v>63</v>
      </c>
      <c r="I159" s="2" t="s">
        <v>63</v>
      </c>
      <c r="J159" s="2" t="s">
        <v>64</v>
      </c>
      <c r="K159" s="2" t="s">
        <v>65</v>
      </c>
      <c r="L159" s="2" t="s">
        <v>66</v>
      </c>
      <c r="M159" s="2" t="s">
        <v>74</v>
      </c>
      <c r="N159" s="2" t="s">
        <v>66</v>
      </c>
      <c r="O159" s="2" t="s">
        <v>67</v>
      </c>
      <c r="P159" s="2" t="s">
        <v>71</v>
      </c>
      <c r="Q159" s="2" t="s">
        <v>66</v>
      </c>
      <c r="R159" s="2" t="s">
        <v>72</v>
      </c>
      <c r="S159">
        <v>2</v>
      </c>
      <c r="T159">
        <v>4</v>
      </c>
      <c r="U159">
        <v>2</v>
      </c>
      <c r="V159">
        <v>2</v>
      </c>
      <c r="W159">
        <v>5</v>
      </c>
      <c r="X159">
        <v>5</v>
      </c>
      <c r="Y159" s="2" t="s">
        <v>72</v>
      </c>
      <c r="Z159">
        <v>2</v>
      </c>
      <c r="AA159">
        <v>4</v>
      </c>
      <c r="AB159">
        <v>2</v>
      </c>
      <c r="AC159">
        <v>2</v>
      </c>
      <c r="AD159">
        <v>5</v>
      </c>
      <c r="AE159">
        <v>5</v>
      </c>
      <c r="AF159" s="10" t="s">
        <v>230</v>
      </c>
      <c r="AG159" s="4"/>
      <c r="AH159" s="8">
        <v>157</v>
      </c>
      <c r="AI159">
        <v>0</v>
      </c>
      <c r="AJ159">
        <v>0</v>
      </c>
      <c r="AK159" s="8" t="s">
        <v>317</v>
      </c>
      <c r="AL159" t="s">
        <v>318</v>
      </c>
      <c r="AM159" t="str">
        <f t="shared" si="45"/>
        <v>Honest</v>
      </c>
      <c r="AN159" s="4"/>
      <c r="AO159">
        <f t="shared" si="32"/>
        <v>1</v>
      </c>
      <c r="AP159">
        <f t="shared" si="33"/>
        <v>3</v>
      </c>
      <c r="AQ159">
        <f t="shared" si="34"/>
        <v>1</v>
      </c>
      <c r="AR159">
        <f t="shared" si="35"/>
        <v>6</v>
      </c>
      <c r="AS159">
        <f t="shared" si="46"/>
        <v>2</v>
      </c>
      <c r="AT159">
        <f t="shared" si="36"/>
        <v>2</v>
      </c>
      <c r="AU159">
        <f t="shared" si="37"/>
        <v>1</v>
      </c>
      <c r="AV159" s="19">
        <f t="shared" si="47"/>
        <v>1.6666666666666667</v>
      </c>
      <c r="AW159" s="4"/>
      <c r="AY159">
        <v>3</v>
      </c>
      <c r="AZ159">
        <v>2</v>
      </c>
      <c r="BA159">
        <v>2</v>
      </c>
      <c r="BB159">
        <v>5</v>
      </c>
      <c r="BC159">
        <v>3</v>
      </c>
      <c r="BD159">
        <v>5</v>
      </c>
      <c r="BE159">
        <f t="shared" si="38"/>
        <v>8</v>
      </c>
      <c r="BF159">
        <f t="shared" si="39"/>
        <v>0</v>
      </c>
      <c r="BG159">
        <f t="shared" si="40"/>
        <v>8</v>
      </c>
      <c r="BI159">
        <v>3</v>
      </c>
      <c r="BJ159">
        <v>2</v>
      </c>
      <c r="BK159">
        <v>2</v>
      </c>
      <c r="BL159">
        <v>5</v>
      </c>
      <c r="BM159">
        <v>3</v>
      </c>
      <c r="BN159">
        <v>5</v>
      </c>
      <c r="BO159">
        <f t="shared" si="41"/>
        <v>8</v>
      </c>
      <c r="BP159">
        <f t="shared" si="42"/>
        <v>1</v>
      </c>
      <c r="BQ159">
        <f t="shared" si="43"/>
        <v>9</v>
      </c>
      <c r="BR159">
        <f t="shared" si="44"/>
        <v>17</v>
      </c>
    </row>
    <row r="160" spans="1:76" s="4" customFormat="1" ht="45" x14ac:dyDescent="0.25">
      <c r="A160" s="2" t="s">
        <v>33</v>
      </c>
      <c r="B160">
        <v>100</v>
      </c>
      <c r="C160">
        <v>170</v>
      </c>
      <c r="D160" s="2" t="s">
        <v>62</v>
      </c>
      <c r="E160" s="1">
        <v>44531.481756631947</v>
      </c>
      <c r="F160" s="2" t="s">
        <v>63</v>
      </c>
      <c r="G160" s="2" t="s">
        <v>63</v>
      </c>
      <c r="H160" s="2" t="s">
        <v>63</v>
      </c>
      <c r="I160" s="2" t="s">
        <v>63</v>
      </c>
      <c r="J160" s="2" t="s">
        <v>64</v>
      </c>
      <c r="K160" s="2" t="s">
        <v>65</v>
      </c>
      <c r="L160" s="2" t="s">
        <v>66</v>
      </c>
      <c r="M160" s="2" t="s">
        <v>74</v>
      </c>
      <c r="N160" s="2" t="s">
        <v>71</v>
      </c>
      <c r="O160" s="2" t="s">
        <v>81</v>
      </c>
      <c r="P160" s="2" t="s">
        <v>74</v>
      </c>
      <c r="Q160" s="2" t="s">
        <v>71</v>
      </c>
      <c r="R160" s="2" t="s">
        <v>72</v>
      </c>
      <c r="S160">
        <v>2</v>
      </c>
      <c r="T160">
        <v>3</v>
      </c>
      <c r="U160">
        <v>3</v>
      </c>
      <c r="V160">
        <v>5</v>
      </c>
      <c r="W160">
        <v>5</v>
      </c>
      <c r="X160">
        <v>2</v>
      </c>
      <c r="Y160" s="2" t="s">
        <v>69</v>
      </c>
      <c r="Z160">
        <v>1</v>
      </c>
      <c r="AA160">
        <v>3</v>
      </c>
      <c r="AB160">
        <v>3</v>
      </c>
      <c r="AC160">
        <v>4</v>
      </c>
      <c r="AD160">
        <v>7</v>
      </c>
      <c r="AE160">
        <v>2</v>
      </c>
      <c r="AF160" s="10" t="s">
        <v>231</v>
      </c>
      <c r="AH160" s="8">
        <v>158</v>
      </c>
      <c r="AI160">
        <v>0</v>
      </c>
      <c r="AJ160">
        <v>6</v>
      </c>
      <c r="AK160" s="8" t="s">
        <v>317</v>
      </c>
      <c r="AL160" t="s">
        <v>320</v>
      </c>
      <c r="AM160" t="str">
        <f t="shared" si="45"/>
        <v>Lie</v>
      </c>
      <c r="AO160">
        <f t="shared" si="32"/>
        <v>1</v>
      </c>
      <c r="AP160">
        <f t="shared" si="33"/>
        <v>3</v>
      </c>
      <c r="AQ160">
        <f t="shared" si="34"/>
        <v>2</v>
      </c>
      <c r="AR160">
        <f t="shared" si="35"/>
        <v>5</v>
      </c>
      <c r="AS160">
        <f t="shared" si="46"/>
        <v>3</v>
      </c>
      <c r="AT160">
        <f t="shared" si="36"/>
        <v>3</v>
      </c>
      <c r="AU160">
        <f t="shared" si="37"/>
        <v>2</v>
      </c>
      <c r="AV160" s="19">
        <f t="shared" si="47"/>
        <v>2.3333333333333335</v>
      </c>
      <c r="AX160"/>
      <c r="AY160">
        <v>3</v>
      </c>
      <c r="AZ160">
        <v>2</v>
      </c>
      <c r="BA160">
        <v>1</v>
      </c>
      <c r="BB160">
        <v>5</v>
      </c>
      <c r="BC160">
        <v>4</v>
      </c>
      <c r="BD160">
        <v>5</v>
      </c>
      <c r="BE160">
        <f t="shared" si="38"/>
        <v>8</v>
      </c>
      <c r="BF160">
        <f t="shared" si="39"/>
        <v>0</v>
      </c>
      <c r="BG160">
        <f t="shared" si="40"/>
        <v>8</v>
      </c>
      <c r="BH160" s="8"/>
      <c r="BI160">
        <v>2</v>
      </c>
      <c r="BJ160">
        <v>4</v>
      </c>
      <c r="BK160">
        <v>3</v>
      </c>
      <c r="BL160">
        <v>4</v>
      </c>
      <c r="BM160">
        <v>6</v>
      </c>
      <c r="BN160">
        <v>1</v>
      </c>
      <c r="BO160">
        <f t="shared" si="41"/>
        <v>4</v>
      </c>
      <c r="BP160">
        <f t="shared" si="42"/>
        <v>0</v>
      </c>
      <c r="BQ160">
        <f t="shared" si="43"/>
        <v>4</v>
      </c>
      <c r="BR160">
        <f t="shared" si="44"/>
        <v>12</v>
      </c>
      <c r="BS160" s="8"/>
      <c r="BT160" s="8"/>
      <c r="BU160" s="8"/>
      <c r="BV160" s="8"/>
      <c r="BW160" s="8"/>
      <c r="BX160" s="8"/>
    </row>
    <row r="161" spans="1:76" ht="60" x14ac:dyDescent="0.25">
      <c r="A161" s="2" t="s">
        <v>33</v>
      </c>
      <c r="B161">
        <v>100</v>
      </c>
      <c r="C161">
        <v>13625</v>
      </c>
      <c r="D161" s="2" t="s">
        <v>62</v>
      </c>
      <c r="E161" s="1">
        <v>44533.371519537039</v>
      </c>
      <c r="F161" s="2" t="s">
        <v>63</v>
      </c>
      <c r="G161" s="2" t="s">
        <v>63</v>
      </c>
      <c r="H161" s="2" t="s">
        <v>63</v>
      </c>
      <c r="I161" s="2" t="s">
        <v>63</v>
      </c>
      <c r="J161" s="2" t="s">
        <v>64</v>
      </c>
      <c r="K161" s="2" t="s">
        <v>65</v>
      </c>
      <c r="L161" s="2" t="s">
        <v>71</v>
      </c>
      <c r="M161" s="2" t="s">
        <v>74</v>
      </c>
      <c r="N161" s="2" t="s">
        <v>71</v>
      </c>
      <c r="O161" s="2" t="s">
        <v>75</v>
      </c>
      <c r="P161" s="2" t="s">
        <v>74</v>
      </c>
      <c r="Q161" s="2" t="s">
        <v>74</v>
      </c>
      <c r="R161" s="2" t="s">
        <v>72</v>
      </c>
      <c r="S161">
        <v>3</v>
      </c>
      <c r="T161">
        <v>3</v>
      </c>
      <c r="U161">
        <v>1</v>
      </c>
      <c r="V161">
        <v>3</v>
      </c>
      <c r="W161">
        <v>5</v>
      </c>
      <c r="X161">
        <v>5</v>
      </c>
      <c r="Y161" s="2" t="s">
        <v>68</v>
      </c>
      <c r="Z161">
        <v>3</v>
      </c>
      <c r="AA161">
        <v>3</v>
      </c>
      <c r="AB161">
        <v>1</v>
      </c>
      <c r="AC161">
        <v>3</v>
      </c>
      <c r="AD161">
        <v>5</v>
      </c>
      <c r="AE161">
        <v>5</v>
      </c>
      <c r="AF161" s="10" t="s">
        <v>232</v>
      </c>
      <c r="AG161" s="4"/>
      <c r="AH161" s="8">
        <v>159</v>
      </c>
      <c r="AI161">
        <v>1</v>
      </c>
      <c r="AJ161">
        <v>3</v>
      </c>
      <c r="AK161" s="8" t="s">
        <v>315</v>
      </c>
      <c r="AL161" t="s">
        <v>319</v>
      </c>
      <c r="AM161" t="str">
        <f t="shared" si="45"/>
        <v>Lie</v>
      </c>
      <c r="AN161" s="4"/>
      <c r="AO161">
        <f t="shared" si="32"/>
        <v>2</v>
      </c>
      <c r="AP161">
        <f t="shared" si="33"/>
        <v>3</v>
      </c>
      <c r="AQ161">
        <f t="shared" si="34"/>
        <v>2</v>
      </c>
      <c r="AR161">
        <f t="shared" si="35"/>
        <v>4</v>
      </c>
      <c r="AS161">
        <f t="shared" si="46"/>
        <v>4</v>
      </c>
      <c r="AT161">
        <f t="shared" si="36"/>
        <v>3</v>
      </c>
      <c r="AU161">
        <f t="shared" si="37"/>
        <v>3</v>
      </c>
      <c r="AV161" s="19">
        <f t="shared" si="47"/>
        <v>2.8333333333333335</v>
      </c>
      <c r="AW161" s="4"/>
      <c r="AY161">
        <v>3</v>
      </c>
      <c r="AZ161">
        <v>4</v>
      </c>
      <c r="BA161">
        <v>1</v>
      </c>
      <c r="BB161">
        <v>6</v>
      </c>
      <c r="BC161">
        <v>2</v>
      </c>
      <c r="BD161">
        <v>2</v>
      </c>
      <c r="BE161">
        <f t="shared" si="38"/>
        <v>10</v>
      </c>
      <c r="BF161">
        <f t="shared" si="39"/>
        <v>0</v>
      </c>
      <c r="BG161">
        <f t="shared" si="40"/>
        <v>10</v>
      </c>
      <c r="BI161">
        <v>3</v>
      </c>
      <c r="BJ161">
        <v>5</v>
      </c>
      <c r="BK161">
        <v>1</v>
      </c>
      <c r="BL161">
        <v>5</v>
      </c>
      <c r="BM161">
        <v>3</v>
      </c>
      <c r="BN161">
        <v>3</v>
      </c>
      <c r="BO161">
        <f t="shared" si="41"/>
        <v>8</v>
      </c>
      <c r="BP161">
        <f t="shared" si="42"/>
        <v>1</v>
      </c>
      <c r="BQ161">
        <f t="shared" si="43"/>
        <v>9</v>
      </c>
      <c r="BR161">
        <f t="shared" si="44"/>
        <v>19</v>
      </c>
    </row>
    <row r="162" spans="1:76" s="4" customFormat="1" ht="30" x14ac:dyDescent="0.25">
      <c r="A162" s="2" t="s">
        <v>33</v>
      </c>
      <c r="B162">
        <v>100</v>
      </c>
      <c r="C162">
        <v>507</v>
      </c>
      <c r="D162" s="2" t="s">
        <v>62</v>
      </c>
      <c r="E162" s="1">
        <v>44534.237247766207</v>
      </c>
      <c r="F162" s="2" t="s">
        <v>63</v>
      </c>
      <c r="G162" s="2" t="s">
        <v>63</v>
      </c>
      <c r="H162" s="2" t="s">
        <v>63</v>
      </c>
      <c r="I162" s="2" t="s">
        <v>63</v>
      </c>
      <c r="J162" s="2" t="s">
        <v>64</v>
      </c>
      <c r="K162" s="2" t="s">
        <v>65</v>
      </c>
      <c r="L162" s="2" t="s">
        <v>66</v>
      </c>
      <c r="M162" s="2" t="s">
        <v>66</v>
      </c>
      <c r="N162" s="2" t="s">
        <v>66</v>
      </c>
      <c r="O162" s="2" t="s">
        <v>78</v>
      </c>
      <c r="P162" s="2" t="s">
        <v>66</v>
      </c>
      <c r="Q162" s="2" t="s">
        <v>66</v>
      </c>
      <c r="R162" s="2" t="s">
        <v>72</v>
      </c>
      <c r="S162">
        <v>0</v>
      </c>
      <c r="T162">
        <v>3</v>
      </c>
      <c r="U162">
        <v>2</v>
      </c>
      <c r="V162">
        <v>5</v>
      </c>
      <c r="W162">
        <v>5</v>
      </c>
      <c r="X162">
        <v>5</v>
      </c>
      <c r="Y162" s="2" t="s">
        <v>69</v>
      </c>
      <c r="Z162">
        <v>0</v>
      </c>
      <c r="AA162">
        <v>1</v>
      </c>
      <c r="AB162">
        <v>2</v>
      </c>
      <c r="AC162">
        <v>5</v>
      </c>
      <c r="AD162">
        <v>8</v>
      </c>
      <c r="AE162">
        <v>4</v>
      </c>
      <c r="AF162" s="10" t="s">
        <v>233</v>
      </c>
      <c r="AH162" s="8">
        <v>160</v>
      </c>
      <c r="AI162">
        <v>2</v>
      </c>
      <c r="AJ162">
        <v>14</v>
      </c>
      <c r="AK162" s="8" t="s">
        <v>317</v>
      </c>
      <c r="AL162" t="s">
        <v>320</v>
      </c>
      <c r="AM162" t="str">
        <f t="shared" si="45"/>
        <v>Lie</v>
      </c>
      <c r="AO162">
        <f t="shared" si="32"/>
        <v>1</v>
      </c>
      <c r="AP162">
        <f t="shared" si="33"/>
        <v>1</v>
      </c>
      <c r="AQ162">
        <f t="shared" si="34"/>
        <v>1</v>
      </c>
      <c r="AR162">
        <f t="shared" si="35"/>
        <v>7</v>
      </c>
      <c r="AS162">
        <f t="shared" si="46"/>
        <v>1</v>
      </c>
      <c r="AT162">
        <f t="shared" si="36"/>
        <v>1</v>
      </c>
      <c r="AU162">
        <f t="shared" si="37"/>
        <v>1</v>
      </c>
      <c r="AV162" s="19">
        <f t="shared" si="47"/>
        <v>1</v>
      </c>
      <c r="AX162"/>
      <c r="AY162">
        <v>1</v>
      </c>
      <c r="AZ162">
        <v>4</v>
      </c>
      <c r="BA162">
        <v>5</v>
      </c>
      <c r="BB162">
        <v>5</v>
      </c>
      <c r="BC162">
        <v>4</v>
      </c>
      <c r="BD162">
        <v>1</v>
      </c>
      <c r="BE162">
        <f t="shared" si="38"/>
        <v>10</v>
      </c>
      <c r="BF162">
        <f t="shared" si="39"/>
        <v>0</v>
      </c>
      <c r="BG162">
        <f t="shared" si="40"/>
        <v>10</v>
      </c>
      <c r="BH162" s="8"/>
      <c r="BI162">
        <v>2</v>
      </c>
      <c r="BJ162">
        <v>6</v>
      </c>
      <c r="BK162">
        <v>2</v>
      </c>
      <c r="BL162">
        <v>2</v>
      </c>
      <c r="BM162">
        <v>5</v>
      </c>
      <c r="BN162">
        <v>3</v>
      </c>
      <c r="BO162">
        <f t="shared" si="41"/>
        <v>14</v>
      </c>
      <c r="BP162">
        <f t="shared" si="42"/>
        <v>0</v>
      </c>
      <c r="BQ162">
        <f t="shared" si="43"/>
        <v>14</v>
      </c>
      <c r="BR162">
        <f t="shared" si="44"/>
        <v>24</v>
      </c>
      <c r="BS162" s="8"/>
      <c r="BT162" s="8"/>
      <c r="BU162" s="8"/>
      <c r="BV162" s="8"/>
      <c r="BW162" s="8"/>
      <c r="BX162" s="8"/>
    </row>
    <row r="163" spans="1:76" ht="30" x14ac:dyDescent="0.25">
      <c r="A163" s="2" t="s">
        <v>33</v>
      </c>
      <c r="B163">
        <v>100</v>
      </c>
      <c r="C163">
        <v>404</v>
      </c>
      <c r="D163" s="2" t="s">
        <v>62</v>
      </c>
      <c r="E163" s="1">
        <v>44536.409971122688</v>
      </c>
      <c r="F163" s="2" t="s">
        <v>63</v>
      </c>
      <c r="G163" s="2" t="s">
        <v>63</v>
      </c>
      <c r="H163" s="2" t="s">
        <v>63</v>
      </c>
      <c r="I163" s="2" t="s">
        <v>63</v>
      </c>
      <c r="J163" s="2" t="s">
        <v>64</v>
      </c>
      <c r="K163" s="2" t="s">
        <v>65</v>
      </c>
      <c r="L163" s="2" t="s">
        <v>74</v>
      </c>
      <c r="M163" s="2" t="s">
        <v>71</v>
      </c>
      <c r="N163" s="2" t="s">
        <v>66</v>
      </c>
      <c r="O163" s="2" t="s">
        <v>67</v>
      </c>
      <c r="P163" s="2" t="s">
        <v>74</v>
      </c>
      <c r="Q163" s="2" t="s">
        <v>71</v>
      </c>
      <c r="R163" s="2" t="s">
        <v>72</v>
      </c>
      <c r="S163">
        <v>4</v>
      </c>
      <c r="T163">
        <v>3</v>
      </c>
      <c r="U163">
        <v>1</v>
      </c>
      <c r="V163">
        <v>3</v>
      </c>
      <c r="W163">
        <v>5</v>
      </c>
      <c r="X163">
        <v>4</v>
      </c>
      <c r="Y163" s="2" t="s">
        <v>72</v>
      </c>
      <c r="Z163">
        <v>5</v>
      </c>
      <c r="AA163">
        <v>3</v>
      </c>
      <c r="AB163">
        <v>1</v>
      </c>
      <c r="AC163">
        <v>2</v>
      </c>
      <c r="AD163">
        <v>5</v>
      </c>
      <c r="AE163">
        <v>4</v>
      </c>
      <c r="AF163" s="10" t="s">
        <v>234</v>
      </c>
      <c r="AG163" s="4"/>
      <c r="AH163" s="8">
        <v>161</v>
      </c>
      <c r="AI163">
        <v>0</v>
      </c>
      <c r="AJ163">
        <v>0</v>
      </c>
      <c r="AK163" s="8" t="s">
        <v>317</v>
      </c>
      <c r="AL163" t="s">
        <v>318</v>
      </c>
      <c r="AM163" t="str">
        <f t="shared" si="45"/>
        <v>Honest</v>
      </c>
      <c r="AN163" s="4"/>
      <c r="AO163">
        <f t="shared" si="32"/>
        <v>3</v>
      </c>
      <c r="AP163">
        <f t="shared" si="33"/>
        <v>2</v>
      </c>
      <c r="AQ163">
        <f t="shared" si="34"/>
        <v>1</v>
      </c>
      <c r="AR163">
        <f t="shared" si="35"/>
        <v>6</v>
      </c>
      <c r="AS163">
        <f t="shared" si="46"/>
        <v>2</v>
      </c>
      <c r="AT163">
        <f t="shared" si="36"/>
        <v>3</v>
      </c>
      <c r="AU163">
        <f t="shared" si="37"/>
        <v>2</v>
      </c>
      <c r="AV163" s="19">
        <f t="shared" si="47"/>
        <v>2.1666666666666665</v>
      </c>
      <c r="AW163" s="4"/>
      <c r="AY163">
        <v>8</v>
      </c>
      <c r="AZ163">
        <v>4</v>
      </c>
      <c r="BA163">
        <v>2</v>
      </c>
      <c r="BB163">
        <v>1</v>
      </c>
      <c r="BC163">
        <v>3</v>
      </c>
      <c r="BD163">
        <v>2</v>
      </c>
      <c r="BE163">
        <f t="shared" si="38"/>
        <v>12</v>
      </c>
      <c r="BF163">
        <f t="shared" si="39"/>
        <v>0</v>
      </c>
      <c r="BG163">
        <f t="shared" si="40"/>
        <v>12</v>
      </c>
      <c r="BI163">
        <v>8</v>
      </c>
      <c r="BJ163">
        <v>4</v>
      </c>
      <c r="BK163">
        <v>2</v>
      </c>
      <c r="BL163">
        <v>1</v>
      </c>
      <c r="BM163">
        <v>3</v>
      </c>
      <c r="BN163">
        <v>2</v>
      </c>
      <c r="BO163">
        <f t="shared" si="41"/>
        <v>10</v>
      </c>
      <c r="BP163">
        <f t="shared" si="42"/>
        <v>1</v>
      </c>
      <c r="BQ163">
        <f t="shared" si="43"/>
        <v>11</v>
      </c>
      <c r="BR163">
        <f t="shared" si="44"/>
        <v>23</v>
      </c>
    </row>
    <row r="164" spans="1:76" ht="30" x14ac:dyDescent="0.25">
      <c r="A164" s="2" t="s">
        <v>33</v>
      </c>
      <c r="B164">
        <v>100</v>
      </c>
      <c r="C164">
        <v>224</v>
      </c>
      <c r="D164" s="2" t="s">
        <v>62</v>
      </c>
      <c r="E164" s="1">
        <v>44538.306723113426</v>
      </c>
      <c r="F164" s="2" t="s">
        <v>63</v>
      </c>
      <c r="G164" s="2" t="s">
        <v>63</v>
      </c>
      <c r="H164" s="2" t="s">
        <v>63</v>
      </c>
      <c r="I164" s="2" t="s">
        <v>63</v>
      </c>
      <c r="J164" s="2" t="s">
        <v>64</v>
      </c>
      <c r="K164" s="2" t="s">
        <v>65</v>
      </c>
      <c r="L164" s="2" t="s">
        <v>66</v>
      </c>
      <c r="M164" s="2" t="s">
        <v>71</v>
      </c>
      <c r="N164" s="2" t="s">
        <v>66</v>
      </c>
      <c r="O164" s="2" t="s">
        <v>78</v>
      </c>
      <c r="P164" s="2" t="s">
        <v>71</v>
      </c>
      <c r="Q164" s="2" t="s">
        <v>71</v>
      </c>
      <c r="R164" s="2" t="s">
        <v>72</v>
      </c>
      <c r="S164">
        <v>4</v>
      </c>
      <c r="T164">
        <v>3</v>
      </c>
      <c r="U164">
        <v>4</v>
      </c>
      <c r="V164">
        <v>3</v>
      </c>
      <c r="W164">
        <v>3</v>
      </c>
      <c r="X164">
        <v>3</v>
      </c>
      <c r="Y164" s="2" t="s">
        <v>72</v>
      </c>
      <c r="Z164">
        <v>4</v>
      </c>
      <c r="AA164">
        <v>3</v>
      </c>
      <c r="AB164">
        <v>4</v>
      </c>
      <c r="AC164">
        <v>3</v>
      </c>
      <c r="AD164">
        <v>3</v>
      </c>
      <c r="AE164">
        <v>3</v>
      </c>
      <c r="AF164" s="10" t="s">
        <v>235</v>
      </c>
      <c r="AG164" s="4"/>
      <c r="AH164" s="8">
        <v>162</v>
      </c>
      <c r="AI164">
        <v>0</v>
      </c>
      <c r="AJ164">
        <v>0</v>
      </c>
      <c r="AK164" s="8" t="s">
        <v>315</v>
      </c>
      <c r="AL164" t="s">
        <v>316</v>
      </c>
      <c r="AM164" t="str">
        <f t="shared" si="45"/>
        <v>Honest</v>
      </c>
      <c r="AN164" s="4"/>
      <c r="AO164">
        <f t="shared" si="32"/>
        <v>1</v>
      </c>
      <c r="AP164">
        <f t="shared" si="33"/>
        <v>2</v>
      </c>
      <c r="AQ164">
        <f t="shared" si="34"/>
        <v>1</v>
      </c>
      <c r="AR164">
        <f t="shared" si="35"/>
        <v>7</v>
      </c>
      <c r="AS164">
        <f t="shared" si="46"/>
        <v>1</v>
      </c>
      <c r="AT164">
        <f t="shared" si="36"/>
        <v>2</v>
      </c>
      <c r="AU164">
        <f t="shared" si="37"/>
        <v>2</v>
      </c>
      <c r="AV164" s="19">
        <f t="shared" si="47"/>
        <v>1.5</v>
      </c>
      <c r="AW164" s="4"/>
      <c r="AY164">
        <v>4</v>
      </c>
      <c r="AZ164">
        <v>5</v>
      </c>
      <c r="BA164">
        <v>7</v>
      </c>
      <c r="BB164">
        <v>0</v>
      </c>
      <c r="BC164">
        <v>3</v>
      </c>
      <c r="BD164">
        <v>1</v>
      </c>
      <c r="BE164">
        <f t="shared" si="38"/>
        <v>10</v>
      </c>
      <c r="BF164">
        <f t="shared" si="39"/>
        <v>0</v>
      </c>
      <c r="BG164">
        <f t="shared" si="40"/>
        <v>10</v>
      </c>
      <c r="BI164">
        <v>4</v>
      </c>
      <c r="BJ164">
        <v>5</v>
      </c>
      <c r="BK164">
        <v>7</v>
      </c>
      <c r="BL164">
        <v>0</v>
      </c>
      <c r="BM164">
        <v>3</v>
      </c>
      <c r="BN164">
        <v>1</v>
      </c>
      <c r="BO164">
        <f t="shared" si="41"/>
        <v>10</v>
      </c>
      <c r="BP164">
        <f t="shared" si="42"/>
        <v>1</v>
      </c>
      <c r="BQ164">
        <f t="shared" si="43"/>
        <v>11</v>
      </c>
      <c r="BR164">
        <f t="shared" si="44"/>
        <v>21</v>
      </c>
    </row>
    <row r="165" spans="1:76" ht="30" x14ac:dyDescent="0.25">
      <c r="A165" s="2" t="s">
        <v>33</v>
      </c>
      <c r="B165">
        <v>100</v>
      </c>
      <c r="C165">
        <v>286</v>
      </c>
      <c r="D165" s="2" t="s">
        <v>62</v>
      </c>
      <c r="E165" s="1">
        <v>44538.438042824077</v>
      </c>
      <c r="F165" s="2" t="s">
        <v>63</v>
      </c>
      <c r="G165" s="2" t="s">
        <v>63</v>
      </c>
      <c r="H165" s="2" t="s">
        <v>63</v>
      </c>
      <c r="I165" s="2" t="s">
        <v>63</v>
      </c>
      <c r="J165" s="2" t="s">
        <v>64</v>
      </c>
      <c r="K165" s="2" t="s">
        <v>65</v>
      </c>
      <c r="L165" s="2" t="s">
        <v>66</v>
      </c>
      <c r="M165" s="2" t="s">
        <v>74</v>
      </c>
      <c r="N165" s="2" t="s">
        <v>66</v>
      </c>
      <c r="O165" s="2" t="s">
        <v>67</v>
      </c>
      <c r="P165" s="2" t="s">
        <v>74</v>
      </c>
      <c r="Q165" s="2" t="s">
        <v>71</v>
      </c>
      <c r="R165" s="2" t="s">
        <v>69</v>
      </c>
      <c r="S165">
        <v>3</v>
      </c>
      <c r="T165">
        <v>1</v>
      </c>
      <c r="U165">
        <v>6</v>
      </c>
      <c r="V165">
        <v>2</v>
      </c>
      <c r="W165">
        <v>3</v>
      </c>
      <c r="X165">
        <v>5</v>
      </c>
      <c r="Y165" s="2" t="s">
        <v>68</v>
      </c>
      <c r="Z165">
        <v>2</v>
      </c>
      <c r="AA165">
        <v>4</v>
      </c>
      <c r="AB165">
        <v>3</v>
      </c>
      <c r="AC165">
        <v>1</v>
      </c>
      <c r="AD165">
        <v>4</v>
      </c>
      <c r="AE165">
        <v>6</v>
      </c>
      <c r="AF165" s="10" t="s">
        <v>236</v>
      </c>
      <c r="AG165" s="4"/>
      <c r="AH165" s="8">
        <v>163</v>
      </c>
      <c r="AI165">
        <v>1</v>
      </c>
      <c r="AJ165">
        <v>0</v>
      </c>
      <c r="AK165" s="8" t="s">
        <v>317</v>
      </c>
      <c r="AL165" t="s">
        <v>318</v>
      </c>
      <c r="AM165" t="str">
        <f t="shared" si="45"/>
        <v>Honest</v>
      </c>
      <c r="AN165" s="4"/>
      <c r="AO165">
        <f t="shared" si="32"/>
        <v>1</v>
      </c>
      <c r="AP165">
        <f t="shared" si="33"/>
        <v>3</v>
      </c>
      <c r="AQ165">
        <f t="shared" si="34"/>
        <v>1</v>
      </c>
      <c r="AR165">
        <f t="shared" si="35"/>
        <v>6</v>
      </c>
      <c r="AS165">
        <f t="shared" si="46"/>
        <v>2</v>
      </c>
      <c r="AT165">
        <f t="shared" si="36"/>
        <v>3</v>
      </c>
      <c r="AU165">
        <f t="shared" si="37"/>
        <v>2</v>
      </c>
      <c r="AV165" s="19">
        <f t="shared" si="47"/>
        <v>2</v>
      </c>
      <c r="AW165" s="4"/>
      <c r="AY165">
        <v>7</v>
      </c>
      <c r="AZ165">
        <v>5</v>
      </c>
      <c r="BA165">
        <v>1</v>
      </c>
      <c r="BB165">
        <v>0</v>
      </c>
      <c r="BC165">
        <v>4</v>
      </c>
      <c r="BD165">
        <v>3</v>
      </c>
      <c r="BE165">
        <f t="shared" si="38"/>
        <v>18</v>
      </c>
      <c r="BF165">
        <f t="shared" si="39"/>
        <v>1</v>
      </c>
      <c r="BG165">
        <f t="shared" si="40"/>
        <v>19</v>
      </c>
      <c r="BI165">
        <v>7</v>
      </c>
      <c r="BJ165">
        <v>5</v>
      </c>
      <c r="BK165">
        <v>1</v>
      </c>
      <c r="BL165">
        <v>0</v>
      </c>
      <c r="BM165">
        <v>4</v>
      </c>
      <c r="BN165">
        <v>3</v>
      </c>
      <c r="BO165">
        <f t="shared" si="41"/>
        <v>12</v>
      </c>
      <c r="BP165">
        <f t="shared" si="42"/>
        <v>1</v>
      </c>
      <c r="BQ165">
        <f t="shared" si="43"/>
        <v>13</v>
      </c>
      <c r="BR165">
        <f t="shared" si="44"/>
        <v>32</v>
      </c>
    </row>
    <row r="166" spans="1:76" ht="45" x14ac:dyDescent="0.25">
      <c r="A166" s="2" t="s">
        <v>33</v>
      </c>
      <c r="B166">
        <v>100</v>
      </c>
      <c r="C166">
        <v>2869</v>
      </c>
      <c r="D166" s="2" t="s">
        <v>62</v>
      </c>
      <c r="E166" s="1">
        <v>44540.142503078707</v>
      </c>
      <c r="F166" s="2" t="s">
        <v>63</v>
      </c>
      <c r="G166" s="2" t="s">
        <v>63</v>
      </c>
      <c r="H166" s="2" t="s">
        <v>63</v>
      </c>
      <c r="I166" s="2" t="s">
        <v>63</v>
      </c>
      <c r="J166" s="2" t="s">
        <v>64</v>
      </c>
      <c r="K166" s="2" t="s">
        <v>65</v>
      </c>
      <c r="L166" s="2" t="s">
        <v>71</v>
      </c>
      <c r="M166" s="2" t="s">
        <v>81</v>
      </c>
      <c r="N166" s="2" t="s">
        <v>71</v>
      </c>
      <c r="O166" s="2" t="s">
        <v>67</v>
      </c>
      <c r="P166" s="2" t="s">
        <v>74</v>
      </c>
      <c r="Q166" s="2" t="s">
        <v>74</v>
      </c>
      <c r="R166" s="2" t="s">
        <v>69</v>
      </c>
      <c r="S166">
        <v>2</v>
      </c>
      <c r="T166">
        <v>4</v>
      </c>
      <c r="U166">
        <v>3</v>
      </c>
      <c r="V166">
        <v>5</v>
      </c>
      <c r="W166">
        <v>4</v>
      </c>
      <c r="X166">
        <v>2</v>
      </c>
      <c r="Y166" s="2" t="s">
        <v>69</v>
      </c>
      <c r="Z166">
        <v>2</v>
      </c>
      <c r="AA166">
        <v>3</v>
      </c>
      <c r="AB166">
        <v>4</v>
      </c>
      <c r="AC166">
        <v>5</v>
      </c>
      <c r="AD166">
        <v>4</v>
      </c>
      <c r="AE166">
        <v>2</v>
      </c>
      <c r="AF166" s="10" t="s">
        <v>237</v>
      </c>
      <c r="AG166" s="4"/>
      <c r="AH166" s="8">
        <v>164</v>
      </c>
      <c r="AI166">
        <v>1</v>
      </c>
      <c r="AJ166">
        <v>0</v>
      </c>
      <c r="AK166" s="8" t="s">
        <v>315</v>
      </c>
      <c r="AL166" t="s">
        <v>316</v>
      </c>
      <c r="AM166" t="str">
        <f t="shared" si="45"/>
        <v>Honest</v>
      </c>
      <c r="AN166" s="4"/>
      <c r="AO166">
        <f t="shared" si="32"/>
        <v>2</v>
      </c>
      <c r="AP166">
        <f t="shared" si="33"/>
        <v>5</v>
      </c>
      <c r="AQ166">
        <f t="shared" si="34"/>
        <v>2</v>
      </c>
      <c r="AR166">
        <f t="shared" si="35"/>
        <v>6</v>
      </c>
      <c r="AS166">
        <f t="shared" si="46"/>
        <v>2</v>
      </c>
      <c r="AT166">
        <f t="shared" si="36"/>
        <v>3</v>
      </c>
      <c r="AU166">
        <f t="shared" si="37"/>
        <v>3</v>
      </c>
      <c r="AV166" s="19">
        <f t="shared" si="47"/>
        <v>2.8333333333333335</v>
      </c>
      <c r="AW166" s="4"/>
      <c r="AY166">
        <v>4</v>
      </c>
      <c r="AZ166">
        <v>7</v>
      </c>
      <c r="BA166">
        <v>2</v>
      </c>
      <c r="BB166">
        <v>3</v>
      </c>
      <c r="BC166">
        <v>2</v>
      </c>
      <c r="BD166">
        <v>2</v>
      </c>
      <c r="BE166">
        <f t="shared" si="38"/>
        <v>10</v>
      </c>
      <c r="BF166">
        <f t="shared" si="39"/>
        <v>1</v>
      </c>
      <c r="BG166">
        <f t="shared" si="40"/>
        <v>11</v>
      </c>
      <c r="BI166">
        <v>4</v>
      </c>
      <c r="BJ166">
        <v>7</v>
      </c>
      <c r="BK166">
        <v>2</v>
      </c>
      <c r="BL166">
        <v>3</v>
      </c>
      <c r="BM166">
        <v>2</v>
      </c>
      <c r="BN166">
        <v>2</v>
      </c>
      <c r="BO166">
        <f t="shared" si="41"/>
        <v>12</v>
      </c>
      <c r="BP166">
        <f t="shared" si="42"/>
        <v>0</v>
      </c>
      <c r="BQ166">
        <f t="shared" si="43"/>
        <v>12</v>
      </c>
      <c r="BR166">
        <f t="shared" si="44"/>
        <v>23</v>
      </c>
    </row>
    <row r="167" spans="1:76" ht="30" x14ac:dyDescent="0.25">
      <c r="A167" s="2" t="s">
        <v>33</v>
      </c>
      <c r="B167">
        <v>100</v>
      </c>
      <c r="C167">
        <v>189</v>
      </c>
      <c r="D167" s="2" t="s">
        <v>62</v>
      </c>
      <c r="E167" s="1">
        <v>44543.217918622686</v>
      </c>
      <c r="F167" s="2" t="s">
        <v>63</v>
      </c>
      <c r="G167" s="2" t="s">
        <v>63</v>
      </c>
      <c r="H167" s="2" t="s">
        <v>63</v>
      </c>
      <c r="I167" s="2" t="s">
        <v>63</v>
      </c>
      <c r="J167" s="2" t="s">
        <v>64</v>
      </c>
      <c r="K167" s="2" t="s">
        <v>65</v>
      </c>
      <c r="L167" s="2" t="s">
        <v>66</v>
      </c>
      <c r="M167" s="2" t="s">
        <v>66</v>
      </c>
      <c r="N167" s="2" t="s">
        <v>66</v>
      </c>
      <c r="O167" s="2" t="s">
        <v>78</v>
      </c>
      <c r="P167" s="2" t="s">
        <v>66</v>
      </c>
      <c r="Q167" s="2" t="s">
        <v>66</v>
      </c>
      <c r="R167" s="2" t="s">
        <v>72</v>
      </c>
      <c r="S167">
        <v>3</v>
      </c>
      <c r="T167">
        <v>2</v>
      </c>
      <c r="U167">
        <v>2</v>
      </c>
      <c r="V167">
        <v>4</v>
      </c>
      <c r="W167">
        <v>4</v>
      </c>
      <c r="X167">
        <v>5</v>
      </c>
      <c r="Y167" s="2" t="s">
        <v>72</v>
      </c>
      <c r="Z167">
        <v>3</v>
      </c>
      <c r="AA167">
        <v>4</v>
      </c>
      <c r="AB167">
        <v>2</v>
      </c>
      <c r="AC167">
        <v>4</v>
      </c>
      <c r="AD167">
        <v>3</v>
      </c>
      <c r="AE167">
        <v>4</v>
      </c>
      <c r="AF167" s="10" t="s">
        <v>238</v>
      </c>
      <c r="AG167" s="4"/>
      <c r="AH167" s="8">
        <v>165</v>
      </c>
      <c r="AI167">
        <v>1</v>
      </c>
      <c r="AJ167">
        <v>0</v>
      </c>
      <c r="AK167" s="8" t="s">
        <v>317</v>
      </c>
      <c r="AL167" t="s">
        <v>318</v>
      </c>
      <c r="AM167" t="str">
        <f t="shared" si="45"/>
        <v>Honest</v>
      </c>
      <c r="AN167" s="4"/>
      <c r="AO167">
        <f t="shared" si="32"/>
        <v>1</v>
      </c>
      <c r="AP167">
        <f t="shared" si="33"/>
        <v>1</v>
      </c>
      <c r="AQ167">
        <f t="shared" si="34"/>
        <v>1</v>
      </c>
      <c r="AR167">
        <f t="shared" si="35"/>
        <v>7</v>
      </c>
      <c r="AS167">
        <f t="shared" si="46"/>
        <v>1</v>
      </c>
      <c r="AT167">
        <f t="shared" si="36"/>
        <v>1</v>
      </c>
      <c r="AU167">
        <f t="shared" si="37"/>
        <v>1</v>
      </c>
      <c r="AV167" s="19">
        <f t="shared" si="47"/>
        <v>1</v>
      </c>
      <c r="AW167" s="4"/>
      <c r="AY167">
        <v>4</v>
      </c>
      <c r="AZ167">
        <v>2</v>
      </c>
      <c r="BA167">
        <v>4</v>
      </c>
      <c r="BB167">
        <v>4</v>
      </c>
      <c r="BC167">
        <v>1</v>
      </c>
      <c r="BD167">
        <v>5</v>
      </c>
      <c r="BE167">
        <f t="shared" si="38"/>
        <v>6</v>
      </c>
      <c r="BF167">
        <f t="shared" si="39"/>
        <v>0</v>
      </c>
      <c r="BG167">
        <f t="shared" si="40"/>
        <v>6</v>
      </c>
      <c r="BI167">
        <v>4</v>
      </c>
      <c r="BJ167">
        <v>2</v>
      </c>
      <c r="BK167">
        <v>4</v>
      </c>
      <c r="BL167">
        <v>4</v>
      </c>
      <c r="BM167">
        <v>1</v>
      </c>
      <c r="BN167">
        <v>5</v>
      </c>
      <c r="BO167">
        <f t="shared" si="41"/>
        <v>8</v>
      </c>
      <c r="BP167">
        <f t="shared" si="42"/>
        <v>1</v>
      </c>
      <c r="BQ167">
        <f t="shared" si="43"/>
        <v>9</v>
      </c>
      <c r="BR167">
        <f t="shared" si="44"/>
        <v>15</v>
      </c>
    </row>
    <row r="168" spans="1:76" s="4" customFormat="1" ht="30" x14ac:dyDescent="0.25">
      <c r="A168" s="2" t="s">
        <v>33</v>
      </c>
      <c r="B168">
        <v>100</v>
      </c>
      <c r="C168">
        <v>191</v>
      </c>
      <c r="D168" s="2" t="s">
        <v>62</v>
      </c>
      <c r="E168" s="1">
        <v>44543.714926863424</v>
      </c>
      <c r="F168" s="2" t="s">
        <v>63</v>
      </c>
      <c r="G168" s="2" t="s">
        <v>63</v>
      </c>
      <c r="H168" s="2" t="s">
        <v>63</v>
      </c>
      <c r="I168" s="2" t="s">
        <v>63</v>
      </c>
      <c r="J168" s="2" t="s">
        <v>64</v>
      </c>
      <c r="K168" s="2" t="s">
        <v>65</v>
      </c>
      <c r="L168" s="2" t="s">
        <v>71</v>
      </c>
      <c r="M168" s="2" t="s">
        <v>74</v>
      </c>
      <c r="N168" s="2" t="s">
        <v>66</v>
      </c>
      <c r="O168" s="2" t="s">
        <v>74</v>
      </c>
      <c r="P168" s="2" t="s">
        <v>74</v>
      </c>
      <c r="Q168" s="2" t="s">
        <v>71</v>
      </c>
      <c r="R168" s="2" t="s">
        <v>69</v>
      </c>
      <c r="S168">
        <v>3</v>
      </c>
      <c r="T168">
        <v>2</v>
      </c>
      <c r="U168">
        <v>5</v>
      </c>
      <c r="V168">
        <v>3</v>
      </c>
      <c r="W168">
        <v>3</v>
      </c>
      <c r="X168">
        <v>4</v>
      </c>
      <c r="Y168" s="2" t="s">
        <v>69</v>
      </c>
      <c r="Z168">
        <v>3</v>
      </c>
      <c r="AA168">
        <v>5</v>
      </c>
      <c r="AB168">
        <v>3</v>
      </c>
      <c r="AC168">
        <v>2</v>
      </c>
      <c r="AD168">
        <v>2</v>
      </c>
      <c r="AE168">
        <v>5</v>
      </c>
      <c r="AF168" s="10" t="s">
        <v>239</v>
      </c>
      <c r="AH168" s="8">
        <v>166</v>
      </c>
      <c r="AI168">
        <v>0</v>
      </c>
      <c r="AJ168">
        <v>0</v>
      </c>
      <c r="AK168" s="8" t="s">
        <v>315</v>
      </c>
      <c r="AL168" t="s">
        <v>316</v>
      </c>
      <c r="AM168" t="str">
        <f t="shared" si="45"/>
        <v>Honest</v>
      </c>
      <c r="AO168">
        <f t="shared" si="32"/>
        <v>2</v>
      </c>
      <c r="AP168">
        <f t="shared" si="33"/>
        <v>3</v>
      </c>
      <c r="AQ168">
        <f t="shared" si="34"/>
        <v>1</v>
      </c>
      <c r="AR168">
        <f t="shared" si="35"/>
        <v>3</v>
      </c>
      <c r="AS168">
        <f t="shared" si="46"/>
        <v>5</v>
      </c>
      <c r="AT168">
        <f t="shared" si="36"/>
        <v>3</v>
      </c>
      <c r="AU168">
        <f t="shared" si="37"/>
        <v>2</v>
      </c>
      <c r="AV168" s="19">
        <f t="shared" si="47"/>
        <v>2.6666666666666665</v>
      </c>
      <c r="AX168"/>
      <c r="AY168">
        <v>2</v>
      </c>
      <c r="AZ168">
        <v>0</v>
      </c>
      <c r="BA168">
        <v>7</v>
      </c>
      <c r="BB168">
        <v>3</v>
      </c>
      <c r="BC168">
        <v>4</v>
      </c>
      <c r="BD168">
        <v>4</v>
      </c>
      <c r="BE168">
        <f t="shared" si="38"/>
        <v>6</v>
      </c>
      <c r="BF168">
        <f t="shared" si="39"/>
        <v>1</v>
      </c>
      <c r="BG168">
        <f t="shared" si="40"/>
        <v>7</v>
      </c>
      <c r="BH168" s="8"/>
      <c r="BI168">
        <v>2</v>
      </c>
      <c r="BJ168">
        <v>0</v>
      </c>
      <c r="BK168">
        <v>7</v>
      </c>
      <c r="BL168">
        <v>3</v>
      </c>
      <c r="BM168">
        <v>4</v>
      </c>
      <c r="BN168">
        <v>4</v>
      </c>
      <c r="BO168">
        <f t="shared" si="41"/>
        <v>14</v>
      </c>
      <c r="BP168">
        <f t="shared" si="42"/>
        <v>0</v>
      </c>
      <c r="BQ168">
        <f t="shared" si="43"/>
        <v>14</v>
      </c>
      <c r="BR168">
        <f t="shared" si="44"/>
        <v>21</v>
      </c>
    </row>
    <row r="169" spans="1:76" ht="60" x14ac:dyDescent="0.25">
      <c r="A169" s="2" t="s">
        <v>33</v>
      </c>
      <c r="B169">
        <v>100</v>
      </c>
      <c r="C169">
        <v>134</v>
      </c>
      <c r="D169" s="2" t="s">
        <v>62</v>
      </c>
      <c r="E169" s="1">
        <v>44545.314345416664</v>
      </c>
      <c r="F169" s="2" t="s">
        <v>63</v>
      </c>
      <c r="G169" s="2" t="s">
        <v>63</v>
      </c>
      <c r="H169" s="2" t="s">
        <v>63</v>
      </c>
      <c r="I169" s="2" t="s">
        <v>63</v>
      </c>
      <c r="J169" s="2" t="s">
        <v>64</v>
      </c>
      <c r="K169" s="2" t="s">
        <v>65</v>
      </c>
      <c r="L169" s="2" t="s">
        <v>81</v>
      </c>
      <c r="M169" s="2" t="s">
        <v>71</v>
      </c>
      <c r="N169" s="2" t="s">
        <v>75</v>
      </c>
      <c r="O169" s="2" t="s">
        <v>71</v>
      </c>
      <c r="P169" s="2" t="s">
        <v>74</v>
      </c>
      <c r="Q169" s="2" t="s">
        <v>74</v>
      </c>
      <c r="R169" s="2" t="s">
        <v>69</v>
      </c>
      <c r="S169">
        <v>4</v>
      </c>
      <c r="T169">
        <v>1</v>
      </c>
      <c r="U169">
        <v>2</v>
      </c>
      <c r="V169">
        <v>3</v>
      </c>
      <c r="W169">
        <v>5</v>
      </c>
      <c r="X169">
        <v>5</v>
      </c>
      <c r="Y169" s="2" t="s">
        <v>69</v>
      </c>
      <c r="Z169">
        <v>2</v>
      </c>
      <c r="AA169">
        <v>1</v>
      </c>
      <c r="AB169">
        <v>3</v>
      </c>
      <c r="AC169">
        <v>4</v>
      </c>
      <c r="AD169">
        <v>5</v>
      </c>
      <c r="AE169">
        <v>5</v>
      </c>
      <c r="AF169" s="10" t="s">
        <v>152</v>
      </c>
      <c r="AG169" s="4"/>
      <c r="AH169" s="8">
        <v>167</v>
      </c>
      <c r="AI169">
        <v>2</v>
      </c>
      <c r="AJ169">
        <v>0</v>
      </c>
      <c r="AK169" s="8" t="s">
        <v>315</v>
      </c>
      <c r="AL169" t="s">
        <v>316</v>
      </c>
      <c r="AM169" t="str">
        <f t="shared" si="45"/>
        <v>Honest</v>
      </c>
      <c r="AN169" s="4"/>
      <c r="AO169">
        <f t="shared" si="32"/>
        <v>5</v>
      </c>
      <c r="AP169">
        <f t="shared" si="33"/>
        <v>2</v>
      </c>
      <c r="AQ169">
        <f t="shared" si="34"/>
        <v>4</v>
      </c>
      <c r="AR169">
        <f t="shared" si="35"/>
        <v>2</v>
      </c>
      <c r="AS169">
        <f t="shared" si="46"/>
        <v>6</v>
      </c>
      <c r="AT169">
        <f t="shared" si="36"/>
        <v>3</v>
      </c>
      <c r="AU169">
        <f t="shared" si="37"/>
        <v>3</v>
      </c>
      <c r="AV169" s="19">
        <f t="shared" si="47"/>
        <v>3.8333333333333335</v>
      </c>
      <c r="AW169" s="4"/>
      <c r="AY169">
        <v>4</v>
      </c>
      <c r="AZ169">
        <v>2</v>
      </c>
      <c r="BA169">
        <v>2</v>
      </c>
      <c r="BB169">
        <v>2</v>
      </c>
      <c r="BC169">
        <v>3</v>
      </c>
      <c r="BD169">
        <v>3</v>
      </c>
      <c r="BE169">
        <f t="shared" si="38"/>
        <v>6</v>
      </c>
      <c r="BF169">
        <f t="shared" si="39"/>
        <v>1</v>
      </c>
      <c r="BG169">
        <f t="shared" si="40"/>
        <v>7</v>
      </c>
      <c r="BI169">
        <v>3</v>
      </c>
      <c r="BJ169">
        <v>2</v>
      </c>
      <c r="BK169">
        <v>3</v>
      </c>
      <c r="BL169">
        <v>2</v>
      </c>
      <c r="BM169">
        <v>5</v>
      </c>
      <c r="BN169">
        <v>5</v>
      </c>
      <c r="BO169">
        <f t="shared" si="41"/>
        <v>4</v>
      </c>
      <c r="BP169">
        <f t="shared" si="42"/>
        <v>0</v>
      </c>
      <c r="BQ169">
        <f t="shared" si="43"/>
        <v>4</v>
      </c>
      <c r="BR169">
        <f t="shared" si="44"/>
        <v>11</v>
      </c>
    </row>
    <row r="170" spans="1:76" ht="30" x14ac:dyDescent="0.25">
      <c r="A170" s="2" t="s">
        <v>33</v>
      </c>
      <c r="B170">
        <v>100</v>
      </c>
      <c r="C170">
        <v>396</v>
      </c>
      <c r="D170" s="2" t="s">
        <v>62</v>
      </c>
      <c r="E170" s="1">
        <v>44546.575421388887</v>
      </c>
      <c r="F170" s="2" t="s">
        <v>63</v>
      </c>
      <c r="G170" s="2" t="s">
        <v>63</v>
      </c>
      <c r="H170" s="2" t="s">
        <v>63</v>
      </c>
      <c r="I170" s="2" t="s">
        <v>63</v>
      </c>
      <c r="J170" s="2" t="s">
        <v>64</v>
      </c>
      <c r="K170" s="2" t="s">
        <v>65</v>
      </c>
      <c r="L170" s="2" t="s">
        <v>66</v>
      </c>
      <c r="M170" s="2" t="s">
        <v>66</v>
      </c>
      <c r="N170" s="2" t="s">
        <v>66</v>
      </c>
      <c r="O170" s="2" t="s">
        <v>67</v>
      </c>
      <c r="P170" s="2" t="s">
        <v>66</v>
      </c>
      <c r="Q170" s="2" t="s">
        <v>66</v>
      </c>
      <c r="R170" s="2" t="s">
        <v>72</v>
      </c>
      <c r="S170">
        <v>4</v>
      </c>
      <c r="T170">
        <v>5</v>
      </c>
      <c r="U170">
        <v>5</v>
      </c>
      <c r="V170">
        <v>1</v>
      </c>
      <c r="W170">
        <v>3</v>
      </c>
      <c r="X170">
        <v>2</v>
      </c>
      <c r="Y170" s="2" t="s">
        <v>68</v>
      </c>
      <c r="Z170">
        <v>2</v>
      </c>
      <c r="AA170">
        <v>5</v>
      </c>
      <c r="AB170">
        <v>5</v>
      </c>
      <c r="AC170">
        <v>1</v>
      </c>
      <c r="AD170">
        <v>4</v>
      </c>
      <c r="AE170">
        <v>3</v>
      </c>
      <c r="AF170" s="10" t="s">
        <v>240</v>
      </c>
      <c r="AG170" s="4"/>
      <c r="AH170" s="8">
        <v>168</v>
      </c>
      <c r="AI170">
        <v>0</v>
      </c>
      <c r="AJ170">
        <v>0</v>
      </c>
      <c r="AK170" s="8" t="s">
        <v>317</v>
      </c>
      <c r="AL170" t="s">
        <v>318</v>
      </c>
      <c r="AM170" t="str">
        <f t="shared" si="45"/>
        <v>Honest</v>
      </c>
      <c r="AN170" s="4"/>
      <c r="AO170">
        <f t="shared" si="32"/>
        <v>1</v>
      </c>
      <c r="AP170">
        <f t="shared" si="33"/>
        <v>1</v>
      </c>
      <c r="AQ170">
        <f t="shared" si="34"/>
        <v>1</v>
      </c>
      <c r="AR170">
        <f t="shared" si="35"/>
        <v>6</v>
      </c>
      <c r="AS170">
        <f t="shared" si="46"/>
        <v>2</v>
      </c>
      <c r="AT170">
        <f t="shared" si="36"/>
        <v>1</v>
      </c>
      <c r="AU170">
        <f t="shared" si="37"/>
        <v>1</v>
      </c>
      <c r="AV170" s="19">
        <f t="shared" si="47"/>
        <v>1.1666666666666667</v>
      </c>
      <c r="AW170" s="4"/>
      <c r="AY170">
        <v>2</v>
      </c>
      <c r="AZ170">
        <v>7</v>
      </c>
      <c r="BA170">
        <v>3</v>
      </c>
      <c r="BB170">
        <v>3</v>
      </c>
      <c r="BC170">
        <v>3</v>
      </c>
      <c r="BD170">
        <v>2</v>
      </c>
      <c r="BE170">
        <f t="shared" si="38"/>
        <v>8</v>
      </c>
      <c r="BF170">
        <f t="shared" si="39"/>
        <v>0</v>
      </c>
      <c r="BG170">
        <f t="shared" si="40"/>
        <v>8</v>
      </c>
      <c r="BI170">
        <v>2</v>
      </c>
      <c r="BJ170">
        <v>7</v>
      </c>
      <c r="BK170">
        <v>3</v>
      </c>
      <c r="BL170">
        <v>3</v>
      </c>
      <c r="BM170">
        <v>3</v>
      </c>
      <c r="BN170">
        <v>2</v>
      </c>
      <c r="BO170">
        <f t="shared" si="41"/>
        <v>8</v>
      </c>
      <c r="BP170">
        <f t="shared" si="42"/>
        <v>1</v>
      </c>
      <c r="BQ170">
        <f t="shared" si="43"/>
        <v>9</v>
      </c>
      <c r="BR170">
        <f t="shared" si="44"/>
        <v>17</v>
      </c>
    </row>
    <row r="171" spans="1:76" ht="30" x14ac:dyDescent="0.25">
      <c r="A171" s="2" t="s">
        <v>33</v>
      </c>
      <c r="B171">
        <v>100</v>
      </c>
      <c r="C171">
        <v>348</v>
      </c>
      <c r="D171" s="2" t="s">
        <v>62</v>
      </c>
      <c r="E171" s="1">
        <v>44547.057047349539</v>
      </c>
      <c r="F171" s="2" t="s">
        <v>63</v>
      </c>
      <c r="G171" s="2" t="s">
        <v>63</v>
      </c>
      <c r="H171" s="2" t="s">
        <v>63</v>
      </c>
      <c r="I171" s="2" t="s">
        <v>63</v>
      </c>
      <c r="J171" s="2" t="s">
        <v>64</v>
      </c>
      <c r="K171" s="2" t="s">
        <v>65</v>
      </c>
      <c r="L171" s="2" t="s">
        <v>66</v>
      </c>
      <c r="M171" s="2" t="s">
        <v>71</v>
      </c>
      <c r="N171" s="2" t="s">
        <v>66</v>
      </c>
      <c r="O171" s="2" t="s">
        <v>67</v>
      </c>
      <c r="P171" s="2" t="s">
        <v>66</v>
      </c>
      <c r="Q171" s="2" t="s">
        <v>66</v>
      </c>
      <c r="R171" s="2" t="s">
        <v>69</v>
      </c>
      <c r="S171">
        <v>3</v>
      </c>
      <c r="T171">
        <v>5</v>
      </c>
      <c r="U171">
        <v>1</v>
      </c>
      <c r="V171">
        <v>3</v>
      </c>
      <c r="W171">
        <v>3</v>
      </c>
      <c r="X171">
        <v>5</v>
      </c>
      <c r="Y171" s="2" t="s">
        <v>69</v>
      </c>
      <c r="Z171">
        <v>2</v>
      </c>
      <c r="AA171">
        <v>4</v>
      </c>
      <c r="AB171">
        <v>3</v>
      </c>
      <c r="AC171">
        <v>3</v>
      </c>
      <c r="AD171">
        <v>4</v>
      </c>
      <c r="AE171">
        <v>4</v>
      </c>
      <c r="AF171" s="10" t="s">
        <v>241</v>
      </c>
      <c r="AG171" s="4"/>
      <c r="AH171" s="8">
        <v>169</v>
      </c>
      <c r="AI171">
        <v>0</v>
      </c>
      <c r="AJ171">
        <v>4</v>
      </c>
      <c r="AK171" s="8" t="s">
        <v>317</v>
      </c>
      <c r="AL171" t="s">
        <v>320</v>
      </c>
      <c r="AM171" t="str">
        <f t="shared" si="45"/>
        <v>Lie</v>
      </c>
      <c r="AN171" s="4"/>
      <c r="AO171">
        <f t="shared" si="32"/>
        <v>1</v>
      </c>
      <c r="AP171">
        <f t="shared" si="33"/>
        <v>2</v>
      </c>
      <c r="AQ171">
        <f t="shared" si="34"/>
        <v>1</v>
      </c>
      <c r="AR171">
        <f t="shared" si="35"/>
        <v>6</v>
      </c>
      <c r="AS171">
        <f t="shared" si="46"/>
        <v>2</v>
      </c>
      <c r="AT171">
        <f t="shared" si="36"/>
        <v>1</v>
      </c>
      <c r="AU171">
        <f t="shared" si="37"/>
        <v>1</v>
      </c>
      <c r="AV171" s="19">
        <f t="shared" si="47"/>
        <v>1.3333333333333333</v>
      </c>
      <c r="AW171" s="4"/>
      <c r="AY171">
        <v>1</v>
      </c>
      <c r="AZ171">
        <v>5</v>
      </c>
      <c r="BA171">
        <v>3</v>
      </c>
      <c r="BB171">
        <v>2</v>
      </c>
      <c r="BC171">
        <v>3</v>
      </c>
      <c r="BD171">
        <v>6</v>
      </c>
      <c r="BE171">
        <f t="shared" si="38"/>
        <v>6</v>
      </c>
      <c r="BF171">
        <f t="shared" si="39"/>
        <v>1</v>
      </c>
      <c r="BG171">
        <f t="shared" si="40"/>
        <v>7</v>
      </c>
      <c r="BI171">
        <v>0</v>
      </c>
      <c r="BJ171">
        <v>4</v>
      </c>
      <c r="BK171">
        <v>4</v>
      </c>
      <c r="BL171">
        <v>2</v>
      </c>
      <c r="BM171">
        <v>6</v>
      </c>
      <c r="BN171">
        <v>4</v>
      </c>
      <c r="BO171">
        <f t="shared" si="41"/>
        <v>6</v>
      </c>
      <c r="BP171">
        <f t="shared" si="42"/>
        <v>0</v>
      </c>
      <c r="BQ171">
        <f t="shared" si="43"/>
        <v>6</v>
      </c>
      <c r="BR171">
        <f t="shared" si="44"/>
        <v>13</v>
      </c>
    </row>
    <row r="172" spans="1:76" ht="45" x14ac:dyDescent="0.25">
      <c r="A172" s="2" t="s">
        <v>33</v>
      </c>
      <c r="B172">
        <v>100</v>
      </c>
      <c r="C172">
        <v>191</v>
      </c>
      <c r="D172" s="2" t="s">
        <v>62</v>
      </c>
      <c r="E172" s="1">
        <v>44548.421649189811</v>
      </c>
      <c r="F172" s="2" t="s">
        <v>63</v>
      </c>
      <c r="G172" s="2" t="s">
        <v>63</v>
      </c>
      <c r="H172" s="2" t="s">
        <v>63</v>
      </c>
      <c r="I172" s="2" t="s">
        <v>63</v>
      </c>
      <c r="J172" s="2" t="s">
        <v>64</v>
      </c>
      <c r="K172" s="2" t="s">
        <v>65</v>
      </c>
      <c r="L172" s="2" t="s">
        <v>71</v>
      </c>
      <c r="M172" s="2" t="s">
        <v>74</v>
      </c>
      <c r="N172" s="2" t="s">
        <v>71</v>
      </c>
      <c r="O172" s="2" t="s">
        <v>81</v>
      </c>
      <c r="P172" s="2" t="s">
        <v>71</v>
      </c>
      <c r="Q172" s="2" t="s">
        <v>67</v>
      </c>
      <c r="R172" s="2" t="s">
        <v>69</v>
      </c>
      <c r="S172">
        <v>2</v>
      </c>
      <c r="T172">
        <v>1</v>
      </c>
      <c r="U172">
        <v>1</v>
      </c>
      <c r="V172">
        <v>6</v>
      </c>
      <c r="W172">
        <v>5</v>
      </c>
      <c r="X172">
        <v>5</v>
      </c>
      <c r="Y172" s="2" t="s">
        <v>69</v>
      </c>
      <c r="Z172">
        <v>2</v>
      </c>
      <c r="AA172">
        <v>5</v>
      </c>
      <c r="AB172">
        <v>6</v>
      </c>
      <c r="AC172">
        <v>4</v>
      </c>
      <c r="AD172">
        <v>2</v>
      </c>
      <c r="AE172">
        <v>1</v>
      </c>
      <c r="AF172" s="10" t="s">
        <v>242</v>
      </c>
      <c r="AG172" s="4"/>
      <c r="AH172" s="8">
        <v>170</v>
      </c>
      <c r="AI172">
        <v>0</v>
      </c>
      <c r="AJ172">
        <v>0</v>
      </c>
      <c r="AK172" s="8" t="s">
        <v>315</v>
      </c>
      <c r="AL172" t="s">
        <v>316</v>
      </c>
      <c r="AM172" t="str">
        <f t="shared" si="45"/>
        <v>Honest</v>
      </c>
      <c r="AN172" s="4"/>
      <c r="AO172">
        <f t="shared" si="32"/>
        <v>2</v>
      </c>
      <c r="AP172">
        <f t="shared" si="33"/>
        <v>3</v>
      </c>
      <c r="AQ172">
        <f t="shared" si="34"/>
        <v>2</v>
      </c>
      <c r="AR172">
        <f t="shared" si="35"/>
        <v>5</v>
      </c>
      <c r="AS172">
        <f t="shared" si="46"/>
        <v>3</v>
      </c>
      <c r="AT172">
        <f t="shared" si="36"/>
        <v>2</v>
      </c>
      <c r="AU172">
        <f t="shared" si="37"/>
        <v>6</v>
      </c>
      <c r="AV172" s="19">
        <f t="shared" si="47"/>
        <v>3</v>
      </c>
      <c r="AW172" s="4"/>
      <c r="AY172">
        <v>2</v>
      </c>
      <c r="AZ172">
        <v>4</v>
      </c>
      <c r="BA172">
        <v>5</v>
      </c>
      <c r="BB172">
        <v>1</v>
      </c>
      <c r="BC172">
        <v>3</v>
      </c>
      <c r="BD172">
        <v>4</v>
      </c>
      <c r="BE172">
        <f t="shared" si="38"/>
        <v>15</v>
      </c>
      <c r="BF172">
        <f t="shared" si="39"/>
        <v>1</v>
      </c>
      <c r="BG172">
        <f t="shared" si="40"/>
        <v>16</v>
      </c>
      <c r="BI172">
        <v>2</v>
      </c>
      <c r="BJ172">
        <v>4</v>
      </c>
      <c r="BK172">
        <v>6</v>
      </c>
      <c r="BL172">
        <v>2</v>
      </c>
      <c r="BM172">
        <v>2</v>
      </c>
      <c r="BN172">
        <v>4</v>
      </c>
      <c r="BO172">
        <f t="shared" si="41"/>
        <v>6</v>
      </c>
      <c r="BP172">
        <f t="shared" si="42"/>
        <v>0</v>
      </c>
      <c r="BQ172">
        <f t="shared" si="43"/>
        <v>6</v>
      </c>
      <c r="BR172">
        <f t="shared" si="44"/>
        <v>22</v>
      </c>
    </row>
    <row r="173" spans="1:76" ht="30" x14ac:dyDescent="0.25">
      <c r="A173" s="2" t="s">
        <v>33</v>
      </c>
      <c r="B173">
        <v>100</v>
      </c>
      <c r="C173">
        <v>315</v>
      </c>
      <c r="D173" s="2" t="s">
        <v>62</v>
      </c>
      <c r="E173" s="1">
        <v>44550.462180381946</v>
      </c>
      <c r="F173" s="2" t="s">
        <v>63</v>
      </c>
      <c r="G173" s="2" t="s">
        <v>63</v>
      </c>
      <c r="H173" s="2" t="s">
        <v>63</v>
      </c>
      <c r="I173" s="2" t="s">
        <v>63</v>
      </c>
      <c r="J173" s="2" t="s">
        <v>64</v>
      </c>
      <c r="K173" s="2" t="s">
        <v>65</v>
      </c>
      <c r="L173" s="2" t="s">
        <v>66</v>
      </c>
      <c r="M173" s="2" t="s">
        <v>71</v>
      </c>
      <c r="N173" s="2" t="s">
        <v>66</v>
      </c>
      <c r="O173" s="2" t="s">
        <v>78</v>
      </c>
      <c r="P173" s="2" t="s">
        <v>74</v>
      </c>
      <c r="Q173" s="2" t="s">
        <v>74</v>
      </c>
      <c r="R173" s="2" t="s">
        <v>72</v>
      </c>
      <c r="S173">
        <v>2</v>
      </c>
      <c r="T173">
        <v>4</v>
      </c>
      <c r="U173">
        <v>4</v>
      </c>
      <c r="V173">
        <v>4</v>
      </c>
      <c r="W173">
        <v>2</v>
      </c>
      <c r="X173">
        <v>4</v>
      </c>
      <c r="Y173" s="2" t="s">
        <v>72</v>
      </c>
      <c r="Z173">
        <v>2</v>
      </c>
      <c r="AA173">
        <v>3</v>
      </c>
      <c r="AB173">
        <v>5</v>
      </c>
      <c r="AC173">
        <v>4</v>
      </c>
      <c r="AD173">
        <v>3</v>
      </c>
      <c r="AE173">
        <v>3</v>
      </c>
      <c r="AF173" s="10" t="s">
        <v>243</v>
      </c>
      <c r="AG173" s="4"/>
      <c r="AH173" s="8">
        <v>171</v>
      </c>
      <c r="AI173">
        <v>0</v>
      </c>
      <c r="AJ173">
        <v>0</v>
      </c>
      <c r="AK173" s="8" t="s">
        <v>317</v>
      </c>
      <c r="AL173" t="s">
        <v>318</v>
      </c>
      <c r="AM173" t="str">
        <f t="shared" si="45"/>
        <v>Honest</v>
      </c>
      <c r="AN173" s="4"/>
      <c r="AO173">
        <f t="shared" si="32"/>
        <v>1</v>
      </c>
      <c r="AP173">
        <f t="shared" si="33"/>
        <v>2</v>
      </c>
      <c r="AQ173">
        <f t="shared" si="34"/>
        <v>1</v>
      </c>
      <c r="AR173">
        <f t="shared" si="35"/>
        <v>7</v>
      </c>
      <c r="AS173">
        <f t="shared" si="46"/>
        <v>1</v>
      </c>
      <c r="AT173">
        <f t="shared" si="36"/>
        <v>3</v>
      </c>
      <c r="AU173">
        <f t="shared" si="37"/>
        <v>3</v>
      </c>
      <c r="AV173" s="19">
        <f t="shared" si="47"/>
        <v>1.8333333333333333</v>
      </c>
      <c r="AW173" s="4"/>
      <c r="AY173">
        <v>6</v>
      </c>
      <c r="AZ173">
        <v>3</v>
      </c>
      <c r="BA173">
        <v>3</v>
      </c>
      <c r="BB173">
        <v>2</v>
      </c>
      <c r="BC173">
        <v>1</v>
      </c>
      <c r="BD173">
        <v>5</v>
      </c>
      <c r="BE173">
        <f t="shared" si="38"/>
        <v>10</v>
      </c>
      <c r="BF173">
        <f t="shared" si="39"/>
        <v>0</v>
      </c>
      <c r="BG173">
        <f t="shared" si="40"/>
        <v>10</v>
      </c>
      <c r="BI173">
        <v>6</v>
      </c>
      <c r="BJ173">
        <v>3</v>
      </c>
      <c r="BK173">
        <v>3</v>
      </c>
      <c r="BL173">
        <v>2</v>
      </c>
      <c r="BM173">
        <v>1</v>
      </c>
      <c r="BN173">
        <v>5</v>
      </c>
      <c r="BO173">
        <f t="shared" si="41"/>
        <v>12</v>
      </c>
      <c r="BP173">
        <f t="shared" si="42"/>
        <v>1</v>
      </c>
      <c r="BQ173">
        <f t="shared" si="43"/>
        <v>13</v>
      </c>
      <c r="BR173">
        <f t="shared" si="44"/>
        <v>23</v>
      </c>
    </row>
    <row r="174" spans="1:76" s="4" customFormat="1" ht="57.75" customHeight="1" x14ac:dyDescent="0.25">
      <c r="A174" s="2" t="s">
        <v>33</v>
      </c>
      <c r="B174">
        <v>100</v>
      </c>
      <c r="C174">
        <v>243</v>
      </c>
      <c r="D174" s="2" t="s">
        <v>62</v>
      </c>
      <c r="E174" s="1">
        <v>44551.144697430558</v>
      </c>
      <c r="F174" s="2" t="s">
        <v>63</v>
      </c>
      <c r="G174" s="2" t="s">
        <v>63</v>
      </c>
      <c r="H174" s="2" t="s">
        <v>63</v>
      </c>
      <c r="I174" s="2" t="s">
        <v>63</v>
      </c>
      <c r="J174" s="2" t="s">
        <v>64</v>
      </c>
      <c r="K174" s="2" t="s">
        <v>65</v>
      </c>
      <c r="L174" s="2" t="s">
        <v>74</v>
      </c>
      <c r="M174" s="2" t="s">
        <v>81</v>
      </c>
      <c r="N174" s="2" t="s">
        <v>74</v>
      </c>
      <c r="O174" s="2" t="s">
        <v>67</v>
      </c>
      <c r="P174" s="2" t="s">
        <v>67</v>
      </c>
      <c r="Q174" s="2" t="s">
        <v>74</v>
      </c>
      <c r="R174" s="2" t="s">
        <v>69</v>
      </c>
      <c r="S174">
        <v>2</v>
      </c>
      <c r="T174">
        <v>5</v>
      </c>
      <c r="U174">
        <v>4</v>
      </c>
      <c r="V174">
        <v>2</v>
      </c>
      <c r="W174">
        <v>5</v>
      </c>
      <c r="X174">
        <v>2</v>
      </c>
      <c r="Y174" s="2" t="s">
        <v>69</v>
      </c>
      <c r="Z174">
        <v>5</v>
      </c>
      <c r="AA174">
        <v>2</v>
      </c>
      <c r="AB174">
        <v>4</v>
      </c>
      <c r="AC174">
        <v>2</v>
      </c>
      <c r="AD174">
        <v>2</v>
      </c>
      <c r="AE174">
        <v>5</v>
      </c>
      <c r="AF174" s="10" t="s">
        <v>244</v>
      </c>
      <c r="AH174" s="8">
        <v>172</v>
      </c>
      <c r="AI174">
        <v>16</v>
      </c>
      <c r="AJ174">
        <v>2</v>
      </c>
      <c r="AK174" s="8" t="s">
        <v>315</v>
      </c>
      <c r="AL174" t="s">
        <v>319</v>
      </c>
      <c r="AM174" t="str">
        <f t="shared" si="45"/>
        <v>Lie</v>
      </c>
      <c r="AO174">
        <f t="shared" si="32"/>
        <v>3</v>
      </c>
      <c r="AP174">
        <f t="shared" si="33"/>
        <v>5</v>
      </c>
      <c r="AQ174">
        <f t="shared" si="34"/>
        <v>3</v>
      </c>
      <c r="AR174">
        <f t="shared" si="35"/>
        <v>6</v>
      </c>
      <c r="AS174">
        <f t="shared" si="46"/>
        <v>2</v>
      </c>
      <c r="AT174">
        <f t="shared" si="36"/>
        <v>6</v>
      </c>
      <c r="AU174">
        <f t="shared" si="37"/>
        <v>3</v>
      </c>
      <c r="AV174" s="19">
        <f t="shared" si="47"/>
        <v>3.6666666666666665</v>
      </c>
      <c r="AX174"/>
      <c r="AY174">
        <v>6</v>
      </c>
      <c r="AZ174">
        <v>1</v>
      </c>
      <c r="BA174">
        <v>4</v>
      </c>
      <c r="BB174">
        <v>1</v>
      </c>
      <c r="BC174">
        <v>6</v>
      </c>
      <c r="BD174">
        <v>2</v>
      </c>
      <c r="BE174">
        <f t="shared" si="38"/>
        <v>10</v>
      </c>
      <c r="BF174">
        <f t="shared" si="39"/>
        <v>1</v>
      </c>
      <c r="BG174">
        <f t="shared" si="40"/>
        <v>11</v>
      </c>
      <c r="BH174" s="8"/>
      <c r="BI174">
        <v>5</v>
      </c>
      <c r="BJ174">
        <v>4</v>
      </c>
      <c r="BK174">
        <v>3</v>
      </c>
      <c r="BL174">
        <v>0</v>
      </c>
      <c r="BM174">
        <v>6</v>
      </c>
      <c r="BN174">
        <v>2</v>
      </c>
      <c r="BO174">
        <f t="shared" si="41"/>
        <v>12</v>
      </c>
      <c r="BP174">
        <f t="shared" si="42"/>
        <v>0</v>
      </c>
      <c r="BQ174">
        <f t="shared" si="43"/>
        <v>12</v>
      </c>
      <c r="BR174">
        <f t="shared" si="44"/>
        <v>23</v>
      </c>
    </row>
    <row r="175" spans="1:76" ht="30" x14ac:dyDescent="0.25">
      <c r="A175" s="2" t="s">
        <v>33</v>
      </c>
      <c r="B175">
        <v>100</v>
      </c>
      <c r="C175">
        <v>188</v>
      </c>
      <c r="D175" s="2" t="s">
        <v>62</v>
      </c>
      <c r="E175" s="1">
        <v>44556.235791307867</v>
      </c>
      <c r="F175" s="2" t="s">
        <v>63</v>
      </c>
      <c r="G175" s="2" t="s">
        <v>63</v>
      </c>
      <c r="H175" s="2" t="s">
        <v>63</v>
      </c>
      <c r="I175" s="2" t="s">
        <v>63</v>
      </c>
      <c r="J175" s="2" t="s">
        <v>64</v>
      </c>
      <c r="K175" s="2" t="s">
        <v>65</v>
      </c>
      <c r="L175" s="2" t="s">
        <v>74</v>
      </c>
      <c r="M175" s="2" t="s">
        <v>74</v>
      </c>
      <c r="N175" s="2" t="s">
        <v>74</v>
      </c>
      <c r="O175" s="2" t="s">
        <v>74</v>
      </c>
      <c r="P175" s="2" t="s">
        <v>71</v>
      </c>
      <c r="Q175" s="2" t="s">
        <v>74</v>
      </c>
      <c r="R175" s="2" t="s">
        <v>72</v>
      </c>
      <c r="S175">
        <v>2</v>
      </c>
      <c r="T175">
        <v>4</v>
      </c>
      <c r="U175">
        <v>4</v>
      </c>
      <c r="V175">
        <v>6</v>
      </c>
      <c r="W175">
        <v>2</v>
      </c>
      <c r="X175">
        <v>2</v>
      </c>
      <c r="Y175" s="2" t="s">
        <v>69</v>
      </c>
      <c r="Z175">
        <v>4</v>
      </c>
      <c r="AA175">
        <v>2</v>
      </c>
      <c r="AB175">
        <v>2</v>
      </c>
      <c r="AC175">
        <v>3</v>
      </c>
      <c r="AD175">
        <v>5</v>
      </c>
      <c r="AE175">
        <v>4</v>
      </c>
      <c r="AF175" s="10" t="s">
        <v>245</v>
      </c>
      <c r="AG175" s="4"/>
      <c r="AH175" s="8">
        <v>173</v>
      </c>
      <c r="AI175">
        <v>18</v>
      </c>
      <c r="AJ175">
        <v>0</v>
      </c>
      <c r="AK175" s="8" t="s">
        <v>317</v>
      </c>
      <c r="AL175" t="s">
        <v>318</v>
      </c>
      <c r="AM175" t="str">
        <f t="shared" si="45"/>
        <v>Honest</v>
      </c>
      <c r="AN175" s="4"/>
      <c r="AO175">
        <f t="shared" si="32"/>
        <v>3</v>
      </c>
      <c r="AP175">
        <f t="shared" si="33"/>
        <v>3</v>
      </c>
      <c r="AQ175">
        <f t="shared" si="34"/>
        <v>3</v>
      </c>
      <c r="AR175">
        <f t="shared" si="35"/>
        <v>3</v>
      </c>
      <c r="AS175">
        <f t="shared" si="46"/>
        <v>5</v>
      </c>
      <c r="AT175">
        <f t="shared" si="36"/>
        <v>2</v>
      </c>
      <c r="AU175">
        <f t="shared" si="37"/>
        <v>3</v>
      </c>
      <c r="AV175" s="19">
        <f t="shared" si="47"/>
        <v>3.1666666666666665</v>
      </c>
      <c r="AW175" s="4"/>
      <c r="AY175">
        <v>4</v>
      </c>
      <c r="AZ175">
        <v>3</v>
      </c>
      <c r="BA175">
        <v>8</v>
      </c>
      <c r="BB175">
        <v>2</v>
      </c>
      <c r="BC175">
        <v>1</v>
      </c>
      <c r="BD175">
        <v>2</v>
      </c>
      <c r="BE175">
        <f t="shared" si="38"/>
        <v>12</v>
      </c>
      <c r="BF175">
        <f t="shared" si="39"/>
        <v>0</v>
      </c>
      <c r="BG175">
        <f t="shared" si="40"/>
        <v>12</v>
      </c>
      <c r="BI175">
        <v>4</v>
      </c>
      <c r="BJ175">
        <v>4</v>
      </c>
      <c r="BK175">
        <v>7</v>
      </c>
      <c r="BL175">
        <v>2</v>
      </c>
      <c r="BM175">
        <v>1</v>
      </c>
      <c r="BN175">
        <v>2</v>
      </c>
      <c r="BO175">
        <f t="shared" si="41"/>
        <v>14</v>
      </c>
      <c r="BP175">
        <f t="shared" si="42"/>
        <v>0</v>
      </c>
      <c r="BQ175">
        <f t="shared" si="43"/>
        <v>14</v>
      </c>
      <c r="BR175">
        <f t="shared" si="44"/>
        <v>26</v>
      </c>
    </row>
    <row r="176" spans="1:76" ht="30" x14ac:dyDescent="0.25">
      <c r="A176" s="2" t="s">
        <v>33</v>
      </c>
      <c r="B176">
        <v>100</v>
      </c>
      <c r="C176">
        <v>259</v>
      </c>
      <c r="D176" s="2" t="s">
        <v>62</v>
      </c>
      <c r="E176" s="1">
        <v>44564.565842974538</v>
      </c>
      <c r="F176" s="2" t="s">
        <v>63</v>
      </c>
      <c r="G176" s="2" t="s">
        <v>63</v>
      </c>
      <c r="H176" s="2" t="s">
        <v>63</v>
      </c>
      <c r="I176" s="2" t="s">
        <v>63</v>
      </c>
      <c r="J176" s="2" t="s">
        <v>64</v>
      </c>
      <c r="K176" s="2" t="s">
        <v>65</v>
      </c>
      <c r="L176" s="2" t="s">
        <v>66</v>
      </c>
      <c r="M176" s="2" t="s">
        <v>71</v>
      </c>
      <c r="N176" s="2" t="s">
        <v>66</v>
      </c>
      <c r="O176" s="2" t="s">
        <v>78</v>
      </c>
      <c r="P176" s="2" t="s">
        <v>71</v>
      </c>
      <c r="Q176" s="2" t="s">
        <v>66</v>
      </c>
      <c r="R176" s="2" t="s">
        <v>68</v>
      </c>
      <c r="S176">
        <v>4</v>
      </c>
      <c r="T176">
        <v>4</v>
      </c>
      <c r="U176">
        <v>3</v>
      </c>
      <c r="V176">
        <v>3</v>
      </c>
      <c r="W176">
        <v>3</v>
      </c>
      <c r="X176">
        <v>3</v>
      </c>
      <c r="Y176" s="2" t="s">
        <v>72</v>
      </c>
      <c r="Z176">
        <v>4</v>
      </c>
      <c r="AA176">
        <v>3</v>
      </c>
      <c r="AB176">
        <v>4</v>
      </c>
      <c r="AC176">
        <v>3</v>
      </c>
      <c r="AD176">
        <v>3</v>
      </c>
      <c r="AE176">
        <v>3</v>
      </c>
      <c r="AF176" s="10" t="s">
        <v>246</v>
      </c>
      <c r="AG176" s="4"/>
      <c r="AH176" s="8">
        <v>174</v>
      </c>
      <c r="AI176">
        <v>0</v>
      </c>
      <c r="AJ176">
        <v>0</v>
      </c>
      <c r="AK176" s="8" t="s">
        <v>317</v>
      </c>
      <c r="AL176" t="s">
        <v>318</v>
      </c>
      <c r="AM176" t="str">
        <f t="shared" si="45"/>
        <v>Honest</v>
      </c>
      <c r="AN176" s="4"/>
      <c r="AO176">
        <f t="shared" si="32"/>
        <v>1</v>
      </c>
      <c r="AP176">
        <f t="shared" si="33"/>
        <v>2</v>
      </c>
      <c r="AQ176">
        <f t="shared" si="34"/>
        <v>1</v>
      </c>
      <c r="AR176">
        <f t="shared" si="35"/>
        <v>7</v>
      </c>
      <c r="AS176">
        <f t="shared" si="46"/>
        <v>1</v>
      </c>
      <c r="AT176">
        <f t="shared" si="36"/>
        <v>2</v>
      </c>
      <c r="AU176">
        <f t="shared" si="37"/>
        <v>1</v>
      </c>
      <c r="AV176" s="19">
        <f t="shared" si="47"/>
        <v>1.3333333333333333</v>
      </c>
      <c r="AW176" s="4"/>
      <c r="AY176">
        <v>4</v>
      </c>
      <c r="AZ176">
        <v>2</v>
      </c>
      <c r="BA176">
        <v>3</v>
      </c>
      <c r="BB176">
        <v>2</v>
      </c>
      <c r="BC176">
        <v>5</v>
      </c>
      <c r="BD176">
        <v>4</v>
      </c>
      <c r="BE176">
        <f t="shared" si="38"/>
        <v>6</v>
      </c>
      <c r="BF176">
        <f t="shared" si="39"/>
        <v>1</v>
      </c>
      <c r="BG176">
        <f t="shared" si="40"/>
        <v>7</v>
      </c>
      <c r="BI176">
        <v>4</v>
      </c>
      <c r="BJ176">
        <v>2</v>
      </c>
      <c r="BK176">
        <v>3</v>
      </c>
      <c r="BL176">
        <v>2</v>
      </c>
      <c r="BM176">
        <v>5</v>
      </c>
      <c r="BN176">
        <v>4</v>
      </c>
      <c r="BO176">
        <f t="shared" si="41"/>
        <v>6</v>
      </c>
      <c r="BP176">
        <f t="shared" si="42"/>
        <v>1</v>
      </c>
      <c r="BQ176">
        <f t="shared" si="43"/>
        <v>7</v>
      </c>
      <c r="BR176">
        <f t="shared" si="44"/>
        <v>14</v>
      </c>
    </row>
    <row r="177" spans="1:70" ht="30" x14ac:dyDescent="0.25">
      <c r="A177" s="2" t="s">
        <v>33</v>
      </c>
      <c r="B177">
        <v>100</v>
      </c>
      <c r="C177">
        <v>160</v>
      </c>
      <c r="D177" s="2" t="s">
        <v>62</v>
      </c>
      <c r="E177" s="1">
        <v>44566.285497106481</v>
      </c>
      <c r="F177" s="2" t="s">
        <v>63</v>
      </c>
      <c r="G177" s="2" t="s">
        <v>63</v>
      </c>
      <c r="H177" s="2" t="s">
        <v>63</v>
      </c>
      <c r="I177" s="2" t="s">
        <v>63</v>
      </c>
      <c r="J177" s="2" t="s">
        <v>64</v>
      </c>
      <c r="K177" s="2" t="s">
        <v>65</v>
      </c>
      <c r="L177" s="2" t="s">
        <v>66</v>
      </c>
      <c r="M177" s="2" t="s">
        <v>74</v>
      </c>
      <c r="N177" s="2" t="s">
        <v>66</v>
      </c>
      <c r="O177" s="2" t="s">
        <v>67</v>
      </c>
      <c r="P177" s="2" t="s">
        <v>74</v>
      </c>
      <c r="Q177" s="2" t="s">
        <v>71</v>
      </c>
      <c r="R177" s="2" t="s">
        <v>69</v>
      </c>
      <c r="S177">
        <v>2</v>
      </c>
      <c r="T177">
        <v>3</v>
      </c>
      <c r="U177">
        <v>4</v>
      </c>
      <c r="V177">
        <v>2</v>
      </c>
      <c r="W177">
        <v>4</v>
      </c>
      <c r="X177">
        <v>5</v>
      </c>
      <c r="Y177" s="2" t="s">
        <v>69</v>
      </c>
      <c r="Z177">
        <v>4</v>
      </c>
      <c r="AA177">
        <v>2</v>
      </c>
      <c r="AB177">
        <v>3</v>
      </c>
      <c r="AC177">
        <v>4</v>
      </c>
      <c r="AD177">
        <v>4</v>
      </c>
      <c r="AE177">
        <v>3</v>
      </c>
      <c r="AF177" s="10" t="s">
        <v>247</v>
      </c>
      <c r="AG177" s="4"/>
      <c r="AH177" s="8">
        <v>175</v>
      </c>
      <c r="AI177">
        <v>0</v>
      </c>
      <c r="AJ177">
        <v>0</v>
      </c>
      <c r="AK177" s="8" t="s">
        <v>315</v>
      </c>
      <c r="AL177" t="s">
        <v>316</v>
      </c>
      <c r="AM177" t="str">
        <f t="shared" si="45"/>
        <v>Honest</v>
      </c>
      <c r="AN177" s="4"/>
      <c r="AO177">
        <f t="shared" si="32"/>
        <v>1</v>
      </c>
      <c r="AP177">
        <f t="shared" si="33"/>
        <v>3</v>
      </c>
      <c r="AQ177">
        <f t="shared" si="34"/>
        <v>1</v>
      </c>
      <c r="AR177">
        <f t="shared" si="35"/>
        <v>6</v>
      </c>
      <c r="AS177">
        <f t="shared" si="46"/>
        <v>2</v>
      </c>
      <c r="AT177">
        <f t="shared" si="36"/>
        <v>3</v>
      </c>
      <c r="AU177">
        <f t="shared" si="37"/>
        <v>2</v>
      </c>
      <c r="AV177" s="19">
        <f t="shared" si="47"/>
        <v>2</v>
      </c>
      <c r="AW177" s="4"/>
      <c r="AY177">
        <v>5</v>
      </c>
      <c r="AZ177">
        <v>2</v>
      </c>
      <c r="BA177">
        <v>5</v>
      </c>
      <c r="BB177">
        <v>1</v>
      </c>
      <c r="BC177">
        <v>3</v>
      </c>
      <c r="BD177">
        <v>4</v>
      </c>
      <c r="BE177">
        <f t="shared" si="38"/>
        <v>8</v>
      </c>
      <c r="BF177">
        <f t="shared" si="39"/>
        <v>1</v>
      </c>
      <c r="BG177">
        <f t="shared" si="40"/>
        <v>9</v>
      </c>
      <c r="BI177">
        <v>5</v>
      </c>
      <c r="BJ177">
        <v>2</v>
      </c>
      <c r="BK177">
        <v>5</v>
      </c>
      <c r="BL177">
        <v>1</v>
      </c>
      <c r="BM177">
        <v>3</v>
      </c>
      <c r="BN177">
        <v>4</v>
      </c>
      <c r="BO177">
        <f t="shared" si="41"/>
        <v>8</v>
      </c>
      <c r="BP177">
        <f t="shared" si="42"/>
        <v>0</v>
      </c>
      <c r="BQ177">
        <f t="shared" si="43"/>
        <v>8</v>
      </c>
      <c r="BR177">
        <f t="shared" si="44"/>
        <v>17</v>
      </c>
    </row>
    <row r="178" spans="1:70" ht="60" x14ac:dyDescent="0.25">
      <c r="A178" s="2" t="s">
        <v>33</v>
      </c>
      <c r="B178">
        <v>100</v>
      </c>
      <c r="C178">
        <v>277</v>
      </c>
      <c r="D178" s="2" t="s">
        <v>62</v>
      </c>
      <c r="E178" s="1">
        <v>44570.414974571759</v>
      </c>
      <c r="F178" s="2" t="s">
        <v>63</v>
      </c>
      <c r="G178" s="2" t="s">
        <v>63</v>
      </c>
      <c r="H178" s="2" t="s">
        <v>63</v>
      </c>
      <c r="I178" s="2" t="s">
        <v>63</v>
      </c>
      <c r="J178" s="2" t="s">
        <v>64</v>
      </c>
      <c r="K178" s="2" t="s">
        <v>65</v>
      </c>
      <c r="L178" s="2" t="s">
        <v>66</v>
      </c>
      <c r="M178" s="2" t="s">
        <v>71</v>
      </c>
      <c r="N178" s="2" t="s">
        <v>71</v>
      </c>
      <c r="O178" s="2" t="s">
        <v>75</v>
      </c>
      <c r="P178" s="2" t="s">
        <v>71</v>
      </c>
      <c r="Q178" s="2" t="s">
        <v>74</v>
      </c>
      <c r="R178" s="2" t="s">
        <v>72</v>
      </c>
      <c r="S178">
        <v>9</v>
      </c>
      <c r="T178">
        <v>2</v>
      </c>
      <c r="U178">
        <v>0</v>
      </c>
      <c r="V178">
        <v>2</v>
      </c>
      <c r="W178">
        <v>2</v>
      </c>
      <c r="X178">
        <v>5</v>
      </c>
      <c r="Y178" s="2" t="s">
        <v>72</v>
      </c>
      <c r="Z178">
        <v>8</v>
      </c>
      <c r="AA178">
        <v>3</v>
      </c>
      <c r="AB178">
        <v>1</v>
      </c>
      <c r="AC178">
        <v>3</v>
      </c>
      <c r="AD178">
        <v>2</v>
      </c>
      <c r="AE178">
        <v>3</v>
      </c>
      <c r="AF178" s="10" t="s">
        <v>248</v>
      </c>
      <c r="AG178" s="4"/>
      <c r="AH178" s="8">
        <v>176</v>
      </c>
      <c r="AI178">
        <v>0</v>
      </c>
      <c r="AJ178">
        <v>0</v>
      </c>
      <c r="AK178" s="8" t="s">
        <v>315</v>
      </c>
      <c r="AL178" t="s">
        <v>316</v>
      </c>
      <c r="AM178" t="str">
        <f t="shared" si="45"/>
        <v>Honest</v>
      </c>
      <c r="AN178" s="4"/>
      <c r="AO178">
        <f t="shared" si="32"/>
        <v>1</v>
      </c>
      <c r="AP178">
        <f t="shared" si="33"/>
        <v>2</v>
      </c>
      <c r="AQ178">
        <f t="shared" si="34"/>
        <v>2</v>
      </c>
      <c r="AR178">
        <f t="shared" si="35"/>
        <v>4</v>
      </c>
      <c r="AS178">
        <f t="shared" si="46"/>
        <v>4</v>
      </c>
      <c r="AT178">
        <f t="shared" si="36"/>
        <v>2</v>
      </c>
      <c r="AU178">
        <f t="shared" si="37"/>
        <v>3</v>
      </c>
      <c r="AV178" s="19">
        <f t="shared" si="47"/>
        <v>2.3333333333333335</v>
      </c>
      <c r="AW178" s="4"/>
      <c r="AY178">
        <v>2</v>
      </c>
      <c r="AZ178">
        <v>3</v>
      </c>
      <c r="BA178">
        <v>4</v>
      </c>
      <c r="BB178">
        <v>1</v>
      </c>
      <c r="BC178">
        <v>4</v>
      </c>
      <c r="BD178">
        <v>6</v>
      </c>
      <c r="BE178">
        <f t="shared" si="38"/>
        <v>16</v>
      </c>
      <c r="BF178">
        <f t="shared" si="39"/>
        <v>0</v>
      </c>
      <c r="BG178">
        <f t="shared" si="40"/>
        <v>16</v>
      </c>
      <c r="BI178">
        <v>1</v>
      </c>
      <c r="BJ178">
        <v>4</v>
      </c>
      <c r="BK178">
        <v>4</v>
      </c>
      <c r="BL178">
        <v>1</v>
      </c>
      <c r="BM178">
        <v>4</v>
      </c>
      <c r="BN178">
        <v>6</v>
      </c>
      <c r="BO178">
        <f t="shared" si="41"/>
        <v>18</v>
      </c>
      <c r="BP178">
        <f t="shared" si="42"/>
        <v>1</v>
      </c>
      <c r="BQ178">
        <f t="shared" si="43"/>
        <v>19</v>
      </c>
      <c r="BR178">
        <f t="shared" si="44"/>
        <v>35</v>
      </c>
    </row>
    <row r="179" spans="1:70" ht="60" x14ac:dyDescent="0.25">
      <c r="A179" s="2" t="s">
        <v>33</v>
      </c>
      <c r="B179">
        <v>100</v>
      </c>
      <c r="C179">
        <v>142</v>
      </c>
      <c r="D179" s="2" t="s">
        <v>62</v>
      </c>
      <c r="E179" s="1">
        <v>44572.177750358795</v>
      </c>
      <c r="F179" s="2" t="s">
        <v>63</v>
      </c>
      <c r="G179" s="2" t="s">
        <v>63</v>
      </c>
      <c r="H179" s="2" t="s">
        <v>63</v>
      </c>
      <c r="I179" s="2" t="s">
        <v>63</v>
      </c>
      <c r="J179" s="2" t="s">
        <v>64</v>
      </c>
      <c r="K179" s="2" t="s">
        <v>65</v>
      </c>
      <c r="L179" s="2" t="s">
        <v>75</v>
      </c>
      <c r="M179" s="2" t="s">
        <v>81</v>
      </c>
      <c r="N179" s="2" t="s">
        <v>75</v>
      </c>
      <c r="O179" s="2" t="s">
        <v>81</v>
      </c>
      <c r="P179" s="2" t="s">
        <v>75</v>
      </c>
      <c r="Q179" s="2" t="s">
        <v>81</v>
      </c>
      <c r="R179" s="2" t="s">
        <v>69</v>
      </c>
      <c r="S179">
        <v>1</v>
      </c>
      <c r="T179">
        <v>3</v>
      </c>
      <c r="U179">
        <v>2</v>
      </c>
      <c r="V179">
        <v>2</v>
      </c>
      <c r="W179">
        <v>10</v>
      </c>
      <c r="X179">
        <v>2</v>
      </c>
      <c r="Y179" s="2" t="s">
        <v>69</v>
      </c>
      <c r="Z179">
        <v>2</v>
      </c>
      <c r="AA179">
        <v>6</v>
      </c>
      <c r="AB179">
        <v>2</v>
      </c>
      <c r="AC179">
        <v>3</v>
      </c>
      <c r="AD179">
        <v>4</v>
      </c>
      <c r="AE179">
        <v>3</v>
      </c>
      <c r="AF179" s="10" t="s">
        <v>249</v>
      </c>
      <c r="AG179" s="4"/>
      <c r="AH179" s="8">
        <v>177</v>
      </c>
      <c r="AI179">
        <v>1</v>
      </c>
      <c r="AJ179">
        <v>7</v>
      </c>
      <c r="AK179" s="8" t="s">
        <v>317</v>
      </c>
      <c r="AL179" t="s">
        <v>320</v>
      </c>
      <c r="AM179" t="str">
        <f t="shared" si="45"/>
        <v>Lie</v>
      </c>
      <c r="AN179" s="4"/>
      <c r="AO179">
        <f t="shared" si="32"/>
        <v>4</v>
      </c>
      <c r="AP179">
        <f t="shared" si="33"/>
        <v>5</v>
      </c>
      <c r="AQ179">
        <f t="shared" si="34"/>
        <v>4</v>
      </c>
      <c r="AR179">
        <f t="shared" si="35"/>
        <v>5</v>
      </c>
      <c r="AS179">
        <f t="shared" si="46"/>
        <v>3</v>
      </c>
      <c r="AT179">
        <f t="shared" si="36"/>
        <v>4</v>
      </c>
      <c r="AU179">
        <f t="shared" si="37"/>
        <v>5</v>
      </c>
      <c r="AV179" s="19">
        <f t="shared" si="47"/>
        <v>4.166666666666667</v>
      </c>
      <c r="AW179" s="4"/>
      <c r="AY179">
        <v>3</v>
      </c>
      <c r="AZ179">
        <v>5</v>
      </c>
      <c r="BA179">
        <v>3</v>
      </c>
      <c r="BB179">
        <v>4</v>
      </c>
      <c r="BC179">
        <v>3</v>
      </c>
      <c r="BD179">
        <v>2</v>
      </c>
      <c r="BE179">
        <f t="shared" si="38"/>
        <v>14</v>
      </c>
      <c r="BF179">
        <f t="shared" si="39"/>
        <v>1</v>
      </c>
      <c r="BG179">
        <f t="shared" si="40"/>
        <v>15</v>
      </c>
      <c r="BI179">
        <v>2</v>
      </c>
      <c r="BJ179">
        <v>6</v>
      </c>
      <c r="BK179">
        <v>4</v>
      </c>
      <c r="BL179">
        <v>2</v>
      </c>
      <c r="BM179">
        <v>3</v>
      </c>
      <c r="BN179">
        <v>3</v>
      </c>
      <c r="BO179">
        <f t="shared" si="41"/>
        <v>4</v>
      </c>
      <c r="BP179">
        <f t="shared" si="42"/>
        <v>0</v>
      </c>
      <c r="BQ179">
        <f t="shared" si="43"/>
        <v>4</v>
      </c>
      <c r="BR179">
        <f t="shared" si="44"/>
        <v>19</v>
      </c>
    </row>
    <row r="180" spans="1:70" ht="30" x14ac:dyDescent="0.25">
      <c r="A180" s="2" t="s">
        <v>33</v>
      </c>
      <c r="B180">
        <v>100</v>
      </c>
      <c r="C180">
        <v>258</v>
      </c>
      <c r="D180" s="2" t="s">
        <v>62</v>
      </c>
      <c r="E180" s="1">
        <v>44576.616139490739</v>
      </c>
      <c r="F180" s="2" t="s">
        <v>63</v>
      </c>
      <c r="G180" s="2" t="s">
        <v>63</v>
      </c>
      <c r="H180" s="2" t="s">
        <v>63</v>
      </c>
      <c r="I180" s="2" t="s">
        <v>63</v>
      </c>
      <c r="J180" s="2" t="s">
        <v>64</v>
      </c>
      <c r="K180" s="2" t="s">
        <v>65</v>
      </c>
      <c r="L180" s="2" t="s">
        <v>71</v>
      </c>
      <c r="M180" s="2" t="s">
        <v>66</v>
      </c>
      <c r="N180" s="2" t="s">
        <v>71</v>
      </c>
      <c r="O180" s="2" t="s">
        <v>67</v>
      </c>
      <c r="P180" s="2" t="s">
        <v>71</v>
      </c>
      <c r="Q180" s="2" t="s">
        <v>71</v>
      </c>
      <c r="R180" s="2" t="s">
        <v>69</v>
      </c>
      <c r="S180">
        <v>4</v>
      </c>
      <c r="T180">
        <v>3</v>
      </c>
      <c r="U180">
        <v>2</v>
      </c>
      <c r="V180">
        <v>3</v>
      </c>
      <c r="W180">
        <v>5</v>
      </c>
      <c r="X180">
        <v>3</v>
      </c>
      <c r="Y180" s="2" t="s">
        <v>69</v>
      </c>
      <c r="Z180">
        <v>3</v>
      </c>
      <c r="AA180">
        <v>4</v>
      </c>
      <c r="AB180">
        <v>3</v>
      </c>
      <c r="AC180">
        <v>4</v>
      </c>
      <c r="AD180">
        <v>3</v>
      </c>
      <c r="AE180">
        <v>3</v>
      </c>
      <c r="AF180" s="10" t="s">
        <v>250</v>
      </c>
      <c r="AG180" s="4"/>
      <c r="AH180" s="8">
        <v>178</v>
      </c>
      <c r="AI180">
        <v>0</v>
      </c>
      <c r="AJ180">
        <v>0</v>
      </c>
      <c r="AK180" s="8" t="s">
        <v>317</v>
      </c>
      <c r="AL180" t="s">
        <v>318</v>
      </c>
      <c r="AM180" t="str">
        <f t="shared" si="45"/>
        <v>Honest</v>
      </c>
      <c r="AN180" s="4"/>
      <c r="AO180">
        <f t="shared" si="32"/>
        <v>2</v>
      </c>
      <c r="AP180">
        <f t="shared" si="33"/>
        <v>1</v>
      </c>
      <c r="AQ180">
        <f t="shared" si="34"/>
        <v>2</v>
      </c>
      <c r="AR180">
        <f t="shared" si="35"/>
        <v>6</v>
      </c>
      <c r="AS180">
        <f t="shared" si="46"/>
        <v>2</v>
      </c>
      <c r="AT180">
        <f t="shared" si="36"/>
        <v>2</v>
      </c>
      <c r="AU180">
        <f t="shared" si="37"/>
        <v>2</v>
      </c>
      <c r="AV180" s="19">
        <f t="shared" si="47"/>
        <v>1.8333333333333333</v>
      </c>
      <c r="AW180" s="4"/>
      <c r="AY180">
        <v>5</v>
      </c>
      <c r="AZ180">
        <v>4</v>
      </c>
      <c r="BA180">
        <v>4</v>
      </c>
      <c r="BB180">
        <v>3</v>
      </c>
      <c r="BC180">
        <v>2</v>
      </c>
      <c r="BD180">
        <v>2</v>
      </c>
      <c r="BE180">
        <f t="shared" si="38"/>
        <v>8</v>
      </c>
      <c r="BF180">
        <f t="shared" si="39"/>
        <v>1</v>
      </c>
      <c r="BG180">
        <f t="shared" si="40"/>
        <v>9</v>
      </c>
      <c r="BI180">
        <v>5</v>
      </c>
      <c r="BJ180">
        <v>4</v>
      </c>
      <c r="BK180">
        <v>4</v>
      </c>
      <c r="BL180">
        <v>3</v>
      </c>
      <c r="BM180">
        <v>2</v>
      </c>
      <c r="BN180">
        <v>2</v>
      </c>
      <c r="BO180">
        <f t="shared" si="41"/>
        <v>6</v>
      </c>
      <c r="BP180">
        <f t="shared" si="42"/>
        <v>0</v>
      </c>
      <c r="BQ180">
        <f t="shared" si="43"/>
        <v>6</v>
      </c>
      <c r="BR180">
        <f t="shared" si="44"/>
        <v>15</v>
      </c>
    </row>
    <row r="181" spans="1:70" ht="60" x14ac:dyDescent="0.25">
      <c r="A181" s="2" t="s">
        <v>33</v>
      </c>
      <c r="B181">
        <v>100</v>
      </c>
      <c r="C181">
        <v>88</v>
      </c>
      <c r="D181" s="2" t="s">
        <v>62</v>
      </c>
      <c r="E181" s="1">
        <v>44578.232801678241</v>
      </c>
      <c r="F181" s="2" t="s">
        <v>63</v>
      </c>
      <c r="G181" s="2" t="s">
        <v>63</v>
      </c>
      <c r="H181" s="2" t="s">
        <v>63</v>
      </c>
      <c r="I181" s="2" t="s">
        <v>63</v>
      </c>
      <c r="J181" s="2" t="s">
        <v>64</v>
      </c>
      <c r="K181" s="2" t="s">
        <v>65</v>
      </c>
      <c r="L181" s="2" t="s">
        <v>71</v>
      </c>
      <c r="M181" s="2" t="s">
        <v>74</v>
      </c>
      <c r="N181" s="2" t="s">
        <v>81</v>
      </c>
      <c r="O181" s="2" t="s">
        <v>71</v>
      </c>
      <c r="P181" s="2" t="s">
        <v>75</v>
      </c>
      <c r="Q181" s="2" t="s">
        <v>71</v>
      </c>
      <c r="R181" s="2" t="s">
        <v>72</v>
      </c>
      <c r="S181">
        <v>5</v>
      </c>
      <c r="T181">
        <v>3</v>
      </c>
      <c r="U181">
        <v>6</v>
      </c>
      <c r="V181">
        <v>2</v>
      </c>
      <c r="W181">
        <v>2</v>
      </c>
      <c r="X181">
        <v>2</v>
      </c>
      <c r="Y181" s="2" t="s">
        <v>72</v>
      </c>
      <c r="Z181">
        <v>4</v>
      </c>
      <c r="AA181">
        <v>1</v>
      </c>
      <c r="AB181">
        <v>5</v>
      </c>
      <c r="AC181">
        <v>2</v>
      </c>
      <c r="AD181">
        <v>6</v>
      </c>
      <c r="AE181">
        <v>2</v>
      </c>
      <c r="AF181" s="10" t="s">
        <v>251</v>
      </c>
      <c r="AG181" s="4"/>
      <c r="AH181" s="8">
        <v>179</v>
      </c>
      <c r="AI181">
        <v>0</v>
      </c>
      <c r="AJ181">
        <v>1</v>
      </c>
      <c r="AK181" s="8" t="s">
        <v>315</v>
      </c>
      <c r="AL181" t="s">
        <v>319</v>
      </c>
      <c r="AM181" t="str">
        <f t="shared" si="45"/>
        <v>Lie</v>
      </c>
      <c r="AN181" s="4"/>
      <c r="AO181">
        <f t="shared" si="32"/>
        <v>2</v>
      </c>
      <c r="AP181">
        <f t="shared" si="33"/>
        <v>3</v>
      </c>
      <c r="AQ181">
        <f t="shared" si="34"/>
        <v>5</v>
      </c>
      <c r="AR181">
        <f t="shared" si="35"/>
        <v>2</v>
      </c>
      <c r="AS181">
        <f t="shared" si="46"/>
        <v>6</v>
      </c>
      <c r="AT181">
        <f t="shared" si="36"/>
        <v>4</v>
      </c>
      <c r="AU181">
        <f t="shared" si="37"/>
        <v>2</v>
      </c>
      <c r="AV181" s="19">
        <f t="shared" si="47"/>
        <v>3.6666666666666665</v>
      </c>
      <c r="AW181" s="4"/>
      <c r="AY181">
        <v>3</v>
      </c>
      <c r="AZ181">
        <v>1</v>
      </c>
      <c r="BA181">
        <v>5</v>
      </c>
      <c r="BB181">
        <v>3</v>
      </c>
      <c r="BC181">
        <v>3</v>
      </c>
      <c r="BD181">
        <v>5</v>
      </c>
      <c r="BE181">
        <f t="shared" si="38"/>
        <v>10</v>
      </c>
      <c r="BF181">
        <f t="shared" si="39"/>
        <v>0</v>
      </c>
      <c r="BG181">
        <f t="shared" si="40"/>
        <v>10</v>
      </c>
      <c r="BI181">
        <v>3</v>
      </c>
      <c r="BJ181">
        <v>2</v>
      </c>
      <c r="BK181">
        <v>4</v>
      </c>
      <c r="BL181">
        <v>3</v>
      </c>
      <c r="BM181">
        <v>3</v>
      </c>
      <c r="BN181">
        <v>5</v>
      </c>
      <c r="BO181">
        <f t="shared" si="41"/>
        <v>10</v>
      </c>
      <c r="BP181">
        <f t="shared" si="42"/>
        <v>1</v>
      </c>
      <c r="BQ181">
        <f t="shared" si="43"/>
        <v>11</v>
      </c>
      <c r="BR181">
        <f t="shared" si="44"/>
        <v>21</v>
      </c>
    </row>
    <row r="182" spans="1:70" ht="30" x14ac:dyDescent="0.25">
      <c r="A182" s="2" t="s">
        <v>33</v>
      </c>
      <c r="B182">
        <v>100</v>
      </c>
      <c r="C182">
        <v>260</v>
      </c>
      <c r="D182" s="2" t="s">
        <v>62</v>
      </c>
      <c r="E182" s="1">
        <v>44582.129397939818</v>
      </c>
      <c r="F182" s="2" t="s">
        <v>63</v>
      </c>
      <c r="G182" s="2" t="s">
        <v>63</v>
      </c>
      <c r="H182" s="2" t="s">
        <v>63</v>
      </c>
      <c r="I182" s="2" t="s">
        <v>63</v>
      </c>
      <c r="J182" s="2" t="s">
        <v>64</v>
      </c>
      <c r="K182" s="2" t="s">
        <v>65</v>
      </c>
      <c r="L182" s="2" t="s">
        <v>66</v>
      </c>
      <c r="M182" s="2" t="s">
        <v>71</v>
      </c>
      <c r="N182" s="2" t="s">
        <v>66</v>
      </c>
      <c r="O182" s="2" t="s">
        <v>67</v>
      </c>
      <c r="P182" s="2" t="s">
        <v>66</v>
      </c>
      <c r="Q182" s="2" t="s">
        <v>66</v>
      </c>
      <c r="R182" s="2" t="s">
        <v>72</v>
      </c>
      <c r="S182">
        <v>3</v>
      </c>
      <c r="T182">
        <v>6</v>
      </c>
      <c r="U182">
        <v>1</v>
      </c>
      <c r="V182">
        <v>1</v>
      </c>
      <c r="W182">
        <v>7</v>
      </c>
      <c r="X182">
        <v>2</v>
      </c>
      <c r="Y182" s="2" t="s">
        <v>68</v>
      </c>
      <c r="Z182">
        <v>3</v>
      </c>
      <c r="AA182">
        <v>6</v>
      </c>
      <c r="AB182">
        <v>1</v>
      </c>
      <c r="AC182">
        <v>1</v>
      </c>
      <c r="AD182">
        <v>7</v>
      </c>
      <c r="AE182">
        <v>2</v>
      </c>
      <c r="AF182" s="10" t="s">
        <v>252</v>
      </c>
      <c r="AG182" s="4"/>
      <c r="AH182" s="8">
        <v>180</v>
      </c>
      <c r="AI182">
        <v>0</v>
      </c>
      <c r="AJ182">
        <v>0</v>
      </c>
      <c r="AK182" s="8" t="s">
        <v>317</v>
      </c>
      <c r="AL182" t="s">
        <v>318</v>
      </c>
      <c r="AM182" t="str">
        <f t="shared" si="45"/>
        <v>Honest</v>
      </c>
      <c r="AN182" s="4"/>
      <c r="AO182">
        <f t="shared" si="32"/>
        <v>1</v>
      </c>
      <c r="AP182">
        <f t="shared" si="33"/>
        <v>2</v>
      </c>
      <c r="AQ182">
        <f t="shared" si="34"/>
        <v>1</v>
      </c>
      <c r="AR182">
        <f t="shared" si="35"/>
        <v>6</v>
      </c>
      <c r="AS182">
        <f t="shared" si="46"/>
        <v>2</v>
      </c>
      <c r="AT182">
        <f t="shared" si="36"/>
        <v>1</v>
      </c>
      <c r="AU182">
        <f t="shared" si="37"/>
        <v>1</v>
      </c>
      <c r="AV182" s="19">
        <f t="shared" si="47"/>
        <v>1.3333333333333333</v>
      </c>
      <c r="AW182" s="4"/>
      <c r="AY182">
        <v>5</v>
      </c>
      <c r="AZ182">
        <v>6</v>
      </c>
      <c r="BA182">
        <v>1</v>
      </c>
      <c r="BB182">
        <v>2</v>
      </c>
      <c r="BC182">
        <v>3</v>
      </c>
      <c r="BD182">
        <v>3</v>
      </c>
      <c r="BE182">
        <f t="shared" si="38"/>
        <v>8</v>
      </c>
      <c r="BF182">
        <f t="shared" si="39"/>
        <v>0</v>
      </c>
      <c r="BG182">
        <f t="shared" si="40"/>
        <v>8</v>
      </c>
      <c r="BI182">
        <v>5</v>
      </c>
      <c r="BJ182">
        <v>6</v>
      </c>
      <c r="BK182">
        <v>1</v>
      </c>
      <c r="BL182">
        <v>2</v>
      </c>
      <c r="BM182">
        <v>3</v>
      </c>
      <c r="BN182">
        <v>3</v>
      </c>
      <c r="BO182">
        <f t="shared" si="41"/>
        <v>8</v>
      </c>
      <c r="BP182">
        <f t="shared" si="42"/>
        <v>1</v>
      </c>
      <c r="BQ182">
        <f t="shared" si="43"/>
        <v>9</v>
      </c>
      <c r="BR182">
        <f t="shared" si="44"/>
        <v>17</v>
      </c>
    </row>
    <row r="183" spans="1:70" ht="30" x14ac:dyDescent="0.25">
      <c r="A183" s="2" t="s">
        <v>33</v>
      </c>
      <c r="B183">
        <v>100</v>
      </c>
      <c r="C183">
        <v>320</v>
      </c>
      <c r="D183" s="2" t="s">
        <v>62</v>
      </c>
      <c r="E183" s="1">
        <v>44584.053236689811</v>
      </c>
      <c r="F183" s="2" t="s">
        <v>63</v>
      </c>
      <c r="G183" s="2" t="s">
        <v>63</v>
      </c>
      <c r="H183" s="2" t="s">
        <v>63</v>
      </c>
      <c r="I183" s="2" t="s">
        <v>63</v>
      </c>
      <c r="J183" s="2" t="s">
        <v>64</v>
      </c>
      <c r="K183" s="2" t="s">
        <v>65</v>
      </c>
      <c r="L183" s="2" t="s">
        <v>66</v>
      </c>
      <c r="M183" s="2" t="s">
        <v>71</v>
      </c>
      <c r="N183" s="2" t="s">
        <v>66</v>
      </c>
      <c r="O183" s="2" t="s">
        <v>67</v>
      </c>
      <c r="P183" s="2" t="s">
        <v>71</v>
      </c>
      <c r="Q183" s="2" t="s">
        <v>74</v>
      </c>
      <c r="R183" s="2" t="s">
        <v>72</v>
      </c>
      <c r="S183">
        <v>4</v>
      </c>
      <c r="T183">
        <v>0</v>
      </c>
      <c r="U183">
        <v>1</v>
      </c>
      <c r="V183">
        <v>10</v>
      </c>
      <c r="W183">
        <v>1</v>
      </c>
      <c r="X183">
        <v>4</v>
      </c>
      <c r="Y183" s="2" t="s">
        <v>69</v>
      </c>
      <c r="Z183">
        <v>4</v>
      </c>
      <c r="AA183">
        <v>0</v>
      </c>
      <c r="AB183">
        <v>1</v>
      </c>
      <c r="AC183">
        <v>10</v>
      </c>
      <c r="AD183">
        <v>1</v>
      </c>
      <c r="AE183">
        <v>4</v>
      </c>
      <c r="AF183" s="10" t="s">
        <v>253</v>
      </c>
      <c r="AG183" s="4"/>
      <c r="AH183" s="8">
        <v>181</v>
      </c>
      <c r="AI183">
        <v>0</v>
      </c>
      <c r="AJ183">
        <v>0</v>
      </c>
      <c r="AK183" s="8" t="s">
        <v>317</v>
      </c>
      <c r="AL183" t="s">
        <v>318</v>
      </c>
      <c r="AM183" t="str">
        <f t="shared" si="45"/>
        <v>Honest</v>
      </c>
      <c r="AN183" s="4"/>
      <c r="AO183">
        <f t="shared" si="32"/>
        <v>1</v>
      </c>
      <c r="AP183">
        <f t="shared" si="33"/>
        <v>2</v>
      </c>
      <c r="AQ183">
        <f t="shared" si="34"/>
        <v>1</v>
      </c>
      <c r="AR183">
        <f t="shared" si="35"/>
        <v>6</v>
      </c>
      <c r="AS183">
        <f t="shared" si="46"/>
        <v>2</v>
      </c>
      <c r="AT183">
        <f t="shared" si="36"/>
        <v>2</v>
      </c>
      <c r="AU183">
        <f t="shared" si="37"/>
        <v>3</v>
      </c>
      <c r="AV183" s="19">
        <f t="shared" si="47"/>
        <v>1.8333333333333333</v>
      </c>
      <c r="AW183" s="4"/>
      <c r="AY183">
        <v>0</v>
      </c>
      <c r="AZ183">
        <v>2</v>
      </c>
      <c r="BA183">
        <v>3</v>
      </c>
      <c r="BB183">
        <v>8</v>
      </c>
      <c r="BC183">
        <v>3</v>
      </c>
      <c r="BD183">
        <v>4</v>
      </c>
      <c r="BE183">
        <f t="shared" si="38"/>
        <v>12</v>
      </c>
      <c r="BF183">
        <f t="shared" si="39"/>
        <v>0</v>
      </c>
      <c r="BG183">
        <f t="shared" si="40"/>
        <v>12</v>
      </c>
      <c r="BI183">
        <v>0</v>
      </c>
      <c r="BJ183">
        <v>2</v>
      </c>
      <c r="BK183">
        <v>3</v>
      </c>
      <c r="BL183">
        <v>8</v>
      </c>
      <c r="BM183">
        <v>3</v>
      </c>
      <c r="BN183">
        <v>4</v>
      </c>
      <c r="BO183">
        <f t="shared" si="41"/>
        <v>12</v>
      </c>
      <c r="BP183">
        <f t="shared" si="42"/>
        <v>0</v>
      </c>
      <c r="BQ183">
        <f t="shared" si="43"/>
        <v>12</v>
      </c>
      <c r="BR183">
        <f t="shared" si="44"/>
        <v>24</v>
      </c>
    </row>
    <row r="184" spans="1:70" ht="30" x14ac:dyDescent="0.25">
      <c r="A184" s="2" t="s">
        <v>33</v>
      </c>
      <c r="B184">
        <v>100</v>
      </c>
      <c r="C184">
        <v>1881</v>
      </c>
      <c r="D184" s="2" t="s">
        <v>62</v>
      </c>
      <c r="E184" s="1">
        <v>44588.291258460646</v>
      </c>
      <c r="F184" s="2" t="s">
        <v>63</v>
      </c>
      <c r="G184" s="2" t="s">
        <v>63</v>
      </c>
      <c r="H184" s="2" t="s">
        <v>63</v>
      </c>
      <c r="I184" s="2" t="s">
        <v>63</v>
      </c>
      <c r="J184" s="2" t="s">
        <v>64</v>
      </c>
      <c r="K184" s="2" t="s">
        <v>65</v>
      </c>
      <c r="L184" s="2" t="s">
        <v>66</v>
      </c>
      <c r="M184" s="2" t="s">
        <v>71</v>
      </c>
      <c r="N184" s="2" t="s">
        <v>66</v>
      </c>
      <c r="O184" s="2" t="s">
        <v>78</v>
      </c>
      <c r="P184" s="2" t="s">
        <v>71</v>
      </c>
      <c r="Q184" s="2" t="s">
        <v>66</v>
      </c>
      <c r="R184" s="2" t="s">
        <v>69</v>
      </c>
      <c r="S184">
        <v>2</v>
      </c>
      <c r="T184">
        <v>3</v>
      </c>
      <c r="U184">
        <v>4</v>
      </c>
      <c r="V184">
        <v>3</v>
      </c>
      <c r="W184">
        <v>5</v>
      </c>
      <c r="X184">
        <v>3</v>
      </c>
      <c r="Y184" s="2" t="s">
        <v>72</v>
      </c>
      <c r="Z184">
        <v>2</v>
      </c>
      <c r="AA184">
        <v>3</v>
      </c>
      <c r="AB184">
        <v>4</v>
      </c>
      <c r="AC184">
        <v>4</v>
      </c>
      <c r="AD184">
        <v>5</v>
      </c>
      <c r="AE184">
        <v>2</v>
      </c>
      <c r="AF184" s="10" t="s">
        <v>254</v>
      </c>
      <c r="AG184" s="4"/>
      <c r="AH184" s="8">
        <v>182</v>
      </c>
      <c r="AI184">
        <v>0</v>
      </c>
      <c r="AJ184">
        <v>0</v>
      </c>
      <c r="AK184" s="8" t="s">
        <v>315</v>
      </c>
      <c r="AL184" t="s">
        <v>316</v>
      </c>
      <c r="AM184" t="str">
        <f t="shared" si="45"/>
        <v>Honest</v>
      </c>
      <c r="AN184" s="4"/>
      <c r="AO184">
        <f t="shared" si="32"/>
        <v>1</v>
      </c>
      <c r="AP184">
        <f t="shared" si="33"/>
        <v>2</v>
      </c>
      <c r="AQ184">
        <f t="shared" si="34"/>
        <v>1</v>
      </c>
      <c r="AR184">
        <f t="shared" si="35"/>
        <v>7</v>
      </c>
      <c r="AS184">
        <f t="shared" si="46"/>
        <v>1</v>
      </c>
      <c r="AT184">
        <f t="shared" si="36"/>
        <v>2</v>
      </c>
      <c r="AU184">
        <f t="shared" si="37"/>
        <v>1</v>
      </c>
      <c r="AV184" s="19">
        <f t="shared" si="47"/>
        <v>1.3333333333333333</v>
      </c>
      <c r="AW184" s="4"/>
      <c r="AY184">
        <v>3</v>
      </c>
      <c r="AZ184">
        <v>2</v>
      </c>
      <c r="BA184">
        <v>3</v>
      </c>
      <c r="BB184">
        <v>5</v>
      </c>
      <c r="BC184">
        <v>5</v>
      </c>
      <c r="BD184">
        <v>2</v>
      </c>
      <c r="BE184">
        <f t="shared" si="38"/>
        <v>6</v>
      </c>
      <c r="BF184">
        <f t="shared" si="39"/>
        <v>1</v>
      </c>
      <c r="BG184">
        <f t="shared" si="40"/>
        <v>7</v>
      </c>
      <c r="BI184">
        <v>3</v>
      </c>
      <c r="BJ184">
        <v>1</v>
      </c>
      <c r="BK184">
        <v>3</v>
      </c>
      <c r="BL184">
        <v>5</v>
      </c>
      <c r="BM184">
        <v>5</v>
      </c>
      <c r="BN184">
        <v>3</v>
      </c>
      <c r="BO184">
        <f t="shared" si="41"/>
        <v>6</v>
      </c>
      <c r="BP184">
        <f t="shared" si="42"/>
        <v>1</v>
      </c>
      <c r="BQ184">
        <f t="shared" si="43"/>
        <v>7</v>
      </c>
      <c r="BR184">
        <f t="shared" si="44"/>
        <v>14</v>
      </c>
    </row>
    <row r="185" spans="1:70" ht="45" x14ac:dyDescent="0.25">
      <c r="A185" s="2" t="s">
        <v>33</v>
      </c>
      <c r="B185">
        <v>100</v>
      </c>
      <c r="C185">
        <v>254</v>
      </c>
      <c r="D185" s="2" t="s">
        <v>62</v>
      </c>
      <c r="E185" s="1">
        <v>44588.664532696763</v>
      </c>
      <c r="F185" s="2" t="s">
        <v>63</v>
      </c>
      <c r="G185" s="2" t="s">
        <v>63</v>
      </c>
      <c r="H185" s="2" t="s">
        <v>63</v>
      </c>
      <c r="I185" s="2" t="s">
        <v>63</v>
      </c>
      <c r="J185" s="2" t="s">
        <v>64</v>
      </c>
      <c r="K185" s="2" t="s">
        <v>65</v>
      </c>
      <c r="L185" s="2" t="s">
        <v>71</v>
      </c>
      <c r="M185" s="2" t="s">
        <v>71</v>
      </c>
      <c r="N185" s="2" t="s">
        <v>66</v>
      </c>
      <c r="O185" s="2" t="s">
        <v>81</v>
      </c>
      <c r="P185" s="2" t="s">
        <v>71</v>
      </c>
      <c r="Q185" s="2" t="s">
        <v>71</v>
      </c>
      <c r="R185" s="2" t="s">
        <v>72</v>
      </c>
      <c r="S185">
        <v>2</v>
      </c>
      <c r="T185">
        <v>5</v>
      </c>
      <c r="U185">
        <v>4</v>
      </c>
      <c r="V185">
        <v>3</v>
      </c>
      <c r="W185">
        <v>4</v>
      </c>
      <c r="X185">
        <v>2</v>
      </c>
      <c r="Y185" s="2" t="s">
        <v>69</v>
      </c>
      <c r="Z185">
        <v>2</v>
      </c>
      <c r="AA185">
        <v>5</v>
      </c>
      <c r="AB185">
        <v>2</v>
      </c>
      <c r="AC185">
        <v>4</v>
      </c>
      <c r="AD185">
        <v>5</v>
      </c>
      <c r="AE185">
        <v>2</v>
      </c>
      <c r="AF185" s="10" t="s">
        <v>255</v>
      </c>
      <c r="AG185" s="4"/>
      <c r="AH185" s="8">
        <v>183</v>
      </c>
      <c r="AI185">
        <v>0</v>
      </c>
      <c r="AJ185">
        <v>0</v>
      </c>
      <c r="AK185" s="8" t="s">
        <v>315</v>
      </c>
      <c r="AL185" t="s">
        <v>316</v>
      </c>
      <c r="AM185" t="str">
        <f t="shared" si="45"/>
        <v>Honest</v>
      </c>
      <c r="AN185" s="4"/>
      <c r="AO185">
        <f t="shared" si="32"/>
        <v>2</v>
      </c>
      <c r="AP185">
        <f t="shared" si="33"/>
        <v>2</v>
      </c>
      <c r="AQ185">
        <f t="shared" si="34"/>
        <v>1</v>
      </c>
      <c r="AR185">
        <f t="shared" si="35"/>
        <v>5</v>
      </c>
      <c r="AS185">
        <f t="shared" si="46"/>
        <v>3</v>
      </c>
      <c r="AT185">
        <f t="shared" si="36"/>
        <v>2</v>
      </c>
      <c r="AU185">
        <f t="shared" si="37"/>
        <v>2</v>
      </c>
      <c r="AV185" s="19">
        <f t="shared" si="47"/>
        <v>2</v>
      </c>
      <c r="AW185" s="4"/>
      <c r="AY185">
        <v>4</v>
      </c>
      <c r="AZ185">
        <v>4</v>
      </c>
      <c r="BA185">
        <v>2</v>
      </c>
      <c r="BB185">
        <v>3</v>
      </c>
      <c r="BC185">
        <v>4</v>
      </c>
      <c r="BD185">
        <v>3</v>
      </c>
      <c r="BE185">
        <f t="shared" si="38"/>
        <v>6</v>
      </c>
      <c r="BF185">
        <f t="shared" si="39"/>
        <v>0</v>
      </c>
      <c r="BG185">
        <f t="shared" si="40"/>
        <v>6</v>
      </c>
      <c r="BI185">
        <v>4</v>
      </c>
      <c r="BJ185">
        <v>4</v>
      </c>
      <c r="BK185">
        <v>2</v>
      </c>
      <c r="BL185">
        <v>3</v>
      </c>
      <c r="BM185">
        <v>4</v>
      </c>
      <c r="BN185">
        <v>3</v>
      </c>
      <c r="BO185">
        <f t="shared" si="41"/>
        <v>6</v>
      </c>
      <c r="BP185">
        <f t="shared" si="42"/>
        <v>0</v>
      </c>
      <c r="BQ185">
        <f t="shared" si="43"/>
        <v>6</v>
      </c>
      <c r="BR185">
        <f t="shared" si="44"/>
        <v>12</v>
      </c>
    </row>
    <row r="186" spans="1:70" ht="30" x14ac:dyDescent="0.25">
      <c r="A186" s="2" t="s">
        <v>33</v>
      </c>
      <c r="B186">
        <v>100</v>
      </c>
      <c r="C186">
        <v>227</v>
      </c>
      <c r="D186" s="2" t="s">
        <v>62</v>
      </c>
      <c r="E186" s="1">
        <v>44604.432348425929</v>
      </c>
      <c r="F186" s="2" t="s">
        <v>63</v>
      </c>
      <c r="G186" s="2" t="s">
        <v>63</v>
      </c>
      <c r="H186" s="2" t="s">
        <v>63</v>
      </c>
      <c r="I186" s="2" t="s">
        <v>63</v>
      </c>
      <c r="J186" s="2" t="s">
        <v>64</v>
      </c>
      <c r="K186" s="2" t="s">
        <v>65</v>
      </c>
      <c r="L186" s="2" t="s">
        <v>71</v>
      </c>
      <c r="M186" s="2" t="s">
        <v>74</v>
      </c>
      <c r="N186" s="2" t="s">
        <v>66</v>
      </c>
      <c r="O186" s="2" t="s">
        <v>67</v>
      </c>
      <c r="P186" s="2" t="s">
        <v>74</v>
      </c>
      <c r="Q186" s="2" t="s">
        <v>74</v>
      </c>
      <c r="R186" s="2" t="s">
        <v>72</v>
      </c>
      <c r="S186">
        <v>7</v>
      </c>
      <c r="T186">
        <v>3</v>
      </c>
      <c r="U186">
        <v>1</v>
      </c>
      <c r="V186">
        <v>3</v>
      </c>
      <c r="W186">
        <v>2</v>
      </c>
      <c r="X186">
        <v>4</v>
      </c>
      <c r="Y186" s="2" t="s">
        <v>68</v>
      </c>
      <c r="Z186">
        <v>5</v>
      </c>
      <c r="AA186">
        <v>7</v>
      </c>
      <c r="AB186">
        <v>4</v>
      </c>
      <c r="AC186">
        <v>1</v>
      </c>
      <c r="AD186">
        <v>2</v>
      </c>
      <c r="AE186">
        <v>1</v>
      </c>
      <c r="AF186" s="10" t="s">
        <v>256</v>
      </c>
      <c r="AG186" s="4"/>
      <c r="AH186" s="8">
        <v>184</v>
      </c>
      <c r="AI186">
        <v>0</v>
      </c>
      <c r="AJ186">
        <v>0</v>
      </c>
      <c r="AK186" s="8" t="s">
        <v>315</v>
      </c>
      <c r="AL186" t="s">
        <v>316</v>
      </c>
      <c r="AM186" t="str">
        <f t="shared" si="45"/>
        <v>Honest</v>
      </c>
      <c r="AN186" s="4"/>
      <c r="AO186">
        <f t="shared" si="32"/>
        <v>2</v>
      </c>
      <c r="AP186">
        <f t="shared" si="33"/>
        <v>3</v>
      </c>
      <c r="AQ186">
        <f t="shared" si="34"/>
        <v>1</v>
      </c>
      <c r="AR186">
        <f t="shared" si="35"/>
        <v>6</v>
      </c>
      <c r="AS186">
        <f t="shared" si="46"/>
        <v>2</v>
      </c>
      <c r="AT186">
        <f t="shared" si="36"/>
        <v>3</v>
      </c>
      <c r="AU186">
        <f t="shared" si="37"/>
        <v>3</v>
      </c>
      <c r="AV186" s="19">
        <f t="shared" si="47"/>
        <v>2.3333333333333335</v>
      </c>
      <c r="AW186" s="4"/>
      <c r="AY186">
        <v>6</v>
      </c>
      <c r="AZ186">
        <v>3</v>
      </c>
      <c r="BA186">
        <v>5</v>
      </c>
      <c r="BB186">
        <v>2</v>
      </c>
      <c r="BC186">
        <v>2</v>
      </c>
      <c r="BD186">
        <v>2</v>
      </c>
      <c r="BE186">
        <f t="shared" si="38"/>
        <v>8</v>
      </c>
      <c r="BF186">
        <f t="shared" si="39"/>
        <v>0</v>
      </c>
      <c r="BG186">
        <f t="shared" si="40"/>
        <v>8</v>
      </c>
      <c r="BI186">
        <v>6</v>
      </c>
      <c r="BJ186">
        <v>3</v>
      </c>
      <c r="BK186">
        <v>5</v>
      </c>
      <c r="BL186">
        <v>2</v>
      </c>
      <c r="BM186">
        <v>2</v>
      </c>
      <c r="BN186">
        <v>2</v>
      </c>
      <c r="BO186">
        <f t="shared" si="41"/>
        <v>8</v>
      </c>
      <c r="BP186">
        <f t="shared" si="42"/>
        <v>1</v>
      </c>
      <c r="BQ186">
        <f t="shared" si="43"/>
        <v>9</v>
      </c>
      <c r="BR186">
        <f t="shared" si="44"/>
        <v>17</v>
      </c>
    </row>
    <row r="187" spans="1:70" ht="45" x14ac:dyDescent="0.25">
      <c r="A187" s="2" t="s">
        <v>33</v>
      </c>
      <c r="B187">
        <v>100</v>
      </c>
      <c r="C187">
        <v>584</v>
      </c>
      <c r="D187" s="2" t="s">
        <v>62</v>
      </c>
      <c r="E187" s="1">
        <v>44604.685433159721</v>
      </c>
      <c r="F187" s="2" t="s">
        <v>63</v>
      </c>
      <c r="G187" s="2" t="s">
        <v>63</v>
      </c>
      <c r="H187" s="2" t="s">
        <v>63</v>
      </c>
      <c r="I187" s="2" t="s">
        <v>63</v>
      </c>
      <c r="J187" s="2" t="s">
        <v>64</v>
      </c>
      <c r="K187" s="2" t="s">
        <v>65</v>
      </c>
      <c r="L187" s="2" t="s">
        <v>74</v>
      </c>
      <c r="M187" s="2" t="s">
        <v>74</v>
      </c>
      <c r="N187" s="2" t="s">
        <v>74</v>
      </c>
      <c r="O187" s="2" t="s">
        <v>81</v>
      </c>
      <c r="P187" s="2" t="s">
        <v>71</v>
      </c>
      <c r="Q187" s="2" t="s">
        <v>74</v>
      </c>
      <c r="R187" s="2" t="s">
        <v>69</v>
      </c>
      <c r="S187">
        <v>3</v>
      </c>
      <c r="T187">
        <v>4</v>
      </c>
      <c r="U187">
        <v>3</v>
      </c>
      <c r="V187">
        <v>2</v>
      </c>
      <c r="W187">
        <v>4</v>
      </c>
      <c r="X187">
        <v>4</v>
      </c>
      <c r="Y187" s="2" t="s">
        <v>69</v>
      </c>
      <c r="Z187">
        <v>3</v>
      </c>
      <c r="AA187">
        <v>3</v>
      </c>
      <c r="AB187">
        <v>5</v>
      </c>
      <c r="AC187">
        <v>2</v>
      </c>
      <c r="AD187">
        <v>3</v>
      </c>
      <c r="AE187">
        <v>4</v>
      </c>
      <c r="AF187" s="10" t="s">
        <v>257</v>
      </c>
      <c r="AG187" s="4"/>
      <c r="AH187" s="8">
        <v>185</v>
      </c>
      <c r="AI187">
        <v>1</v>
      </c>
      <c r="AJ187">
        <v>0</v>
      </c>
      <c r="AK187" s="8" t="s">
        <v>317</v>
      </c>
      <c r="AL187" t="s">
        <v>318</v>
      </c>
      <c r="AM187" t="str">
        <f t="shared" si="45"/>
        <v>Honest</v>
      </c>
      <c r="AN187" s="4"/>
      <c r="AO187">
        <f t="shared" si="32"/>
        <v>3</v>
      </c>
      <c r="AP187">
        <f t="shared" si="33"/>
        <v>3</v>
      </c>
      <c r="AQ187">
        <f t="shared" si="34"/>
        <v>3</v>
      </c>
      <c r="AR187">
        <f t="shared" si="35"/>
        <v>5</v>
      </c>
      <c r="AS187">
        <f t="shared" si="46"/>
        <v>3</v>
      </c>
      <c r="AT187">
        <f t="shared" si="36"/>
        <v>2</v>
      </c>
      <c r="AU187">
        <f t="shared" si="37"/>
        <v>3</v>
      </c>
      <c r="AV187" s="19">
        <f t="shared" si="47"/>
        <v>2.8333333333333335</v>
      </c>
      <c r="AW187" s="4"/>
      <c r="AY187">
        <v>2</v>
      </c>
      <c r="AZ187">
        <v>3</v>
      </c>
      <c r="BA187">
        <v>4</v>
      </c>
      <c r="BB187">
        <v>3</v>
      </c>
      <c r="BC187">
        <v>6</v>
      </c>
      <c r="BD187">
        <v>2</v>
      </c>
      <c r="BE187">
        <f t="shared" si="38"/>
        <v>8</v>
      </c>
      <c r="BF187">
        <f t="shared" si="39"/>
        <v>1</v>
      </c>
      <c r="BG187">
        <f t="shared" si="40"/>
        <v>9</v>
      </c>
      <c r="BI187">
        <v>2</v>
      </c>
      <c r="BJ187">
        <v>3</v>
      </c>
      <c r="BK187">
        <v>4</v>
      </c>
      <c r="BL187">
        <v>3</v>
      </c>
      <c r="BM187">
        <v>6</v>
      </c>
      <c r="BN187">
        <v>2</v>
      </c>
      <c r="BO187">
        <f t="shared" si="41"/>
        <v>8</v>
      </c>
      <c r="BP187">
        <f t="shared" si="42"/>
        <v>0</v>
      </c>
      <c r="BQ187">
        <f t="shared" si="43"/>
        <v>8</v>
      </c>
      <c r="BR187">
        <f t="shared" si="44"/>
        <v>17</v>
      </c>
    </row>
    <row r="188" spans="1:70" s="4" customFormat="1" ht="60" x14ac:dyDescent="0.25">
      <c r="A188" s="2" t="s">
        <v>33</v>
      </c>
      <c r="B188">
        <v>100</v>
      </c>
      <c r="C188">
        <v>335</v>
      </c>
      <c r="D188" s="2" t="s">
        <v>62</v>
      </c>
      <c r="E188" s="1">
        <v>44606.44089484954</v>
      </c>
      <c r="F188" s="2" t="s">
        <v>63</v>
      </c>
      <c r="G188" s="2" t="s">
        <v>63</v>
      </c>
      <c r="H188" s="2" t="s">
        <v>63</v>
      </c>
      <c r="I188" s="2" t="s">
        <v>63</v>
      </c>
      <c r="J188" s="2" t="s">
        <v>64</v>
      </c>
      <c r="K188" s="2" t="s">
        <v>65</v>
      </c>
      <c r="L188" s="2" t="s">
        <v>71</v>
      </c>
      <c r="M188" s="2" t="s">
        <v>75</v>
      </c>
      <c r="N188" s="2" t="s">
        <v>71</v>
      </c>
      <c r="O188" s="2" t="s">
        <v>81</v>
      </c>
      <c r="P188" s="2" t="s">
        <v>75</v>
      </c>
      <c r="Q188" s="2" t="s">
        <v>74</v>
      </c>
      <c r="R188" s="2" t="s">
        <v>72</v>
      </c>
      <c r="S188">
        <v>4</v>
      </c>
      <c r="T188">
        <v>3</v>
      </c>
      <c r="U188">
        <v>4</v>
      </c>
      <c r="V188">
        <v>3</v>
      </c>
      <c r="W188">
        <v>3</v>
      </c>
      <c r="X188">
        <v>3</v>
      </c>
      <c r="Y188" s="2" t="s">
        <v>68</v>
      </c>
      <c r="Z188">
        <v>4</v>
      </c>
      <c r="AA188">
        <v>3</v>
      </c>
      <c r="AB188">
        <v>4</v>
      </c>
      <c r="AC188">
        <v>3</v>
      </c>
      <c r="AD188">
        <v>3</v>
      </c>
      <c r="AE188">
        <v>3</v>
      </c>
      <c r="AF188" s="10" t="s">
        <v>224</v>
      </c>
      <c r="AH188" s="8">
        <v>186</v>
      </c>
      <c r="AI188">
        <v>0</v>
      </c>
      <c r="AJ188">
        <v>0</v>
      </c>
      <c r="AK188" s="8" t="s">
        <v>315</v>
      </c>
      <c r="AL188" t="s">
        <v>316</v>
      </c>
      <c r="AM188" t="str">
        <f t="shared" si="45"/>
        <v>Honest</v>
      </c>
      <c r="AO188">
        <f t="shared" si="32"/>
        <v>2</v>
      </c>
      <c r="AP188">
        <f t="shared" si="33"/>
        <v>4</v>
      </c>
      <c r="AQ188">
        <f t="shared" si="34"/>
        <v>2</v>
      </c>
      <c r="AR188">
        <f t="shared" si="35"/>
        <v>5</v>
      </c>
      <c r="AS188">
        <f t="shared" si="46"/>
        <v>3</v>
      </c>
      <c r="AT188">
        <f t="shared" si="36"/>
        <v>4</v>
      </c>
      <c r="AU188">
        <f t="shared" si="37"/>
        <v>3</v>
      </c>
      <c r="AV188" s="19">
        <f t="shared" si="47"/>
        <v>3</v>
      </c>
      <c r="AX188"/>
      <c r="AY188">
        <v>4</v>
      </c>
      <c r="AZ188">
        <v>2</v>
      </c>
      <c r="BA188">
        <v>7</v>
      </c>
      <c r="BB188">
        <v>2</v>
      </c>
      <c r="BC188">
        <v>2</v>
      </c>
      <c r="BD188">
        <v>3</v>
      </c>
      <c r="BE188">
        <f t="shared" si="38"/>
        <v>6</v>
      </c>
      <c r="BF188">
        <f t="shared" si="39"/>
        <v>0</v>
      </c>
      <c r="BG188">
        <f t="shared" si="40"/>
        <v>6</v>
      </c>
      <c r="BH188" s="8"/>
      <c r="BI188">
        <v>4</v>
      </c>
      <c r="BJ188">
        <v>2</v>
      </c>
      <c r="BK188">
        <v>7</v>
      </c>
      <c r="BL188">
        <v>2</v>
      </c>
      <c r="BM188">
        <v>2</v>
      </c>
      <c r="BN188">
        <v>3</v>
      </c>
      <c r="BO188">
        <f t="shared" si="41"/>
        <v>6</v>
      </c>
      <c r="BP188">
        <f t="shared" si="42"/>
        <v>1</v>
      </c>
      <c r="BQ188">
        <f t="shared" si="43"/>
        <v>7</v>
      </c>
      <c r="BR188">
        <f t="shared" si="44"/>
        <v>13</v>
      </c>
    </row>
    <row r="189" spans="1:70" s="4" customFormat="1" ht="60" x14ac:dyDescent="0.25">
      <c r="A189" s="2" t="s">
        <v>33</v>
      </c>
      <c r="B189">
        <v>100</v>
      </c>
      <c r="C189">
        <v>233</v>
      </c>
      <c r="D189" s="2" t="s">
        <v>62</v>
      </c>
      <c r="E189" s="1">
        <v>44608.361531377312</v>
      </c>
      <c r="F189" s="2" t="s">
        <v>63</v>
      </c>
      <c r="G189" s="2" t="s">
        <v>63</v>
      </c>
      <c r="H189" s="2" t="s">
        <v>63</v>
      </c>
      <c r="I189" s="2" t="s">
        <v>63</v>
      </c>
      <c r="J189" s="2" t="s">
        <v>64</v>
      </c>
      <c r="K189" s="2" t="s">
        <v>65</v>
      </c>
      <c r="L189" s="2" t="s">
        <v>71</v>
      </c>
      <c r="M189" s="2" t="s">
        <v>71</v>
      </c>
      <c r="N189" s="2" t="s">
        <v>66</v>
      </c>
      <c r="O189" s="2" t="s">
        <v>75</v>
      </c>
      <c r="P189" s="2" t="s">
        <v>71</v>
      </c>
      <c r="Q189" s="2" t="s">
        <v>74</v>
      </c>
      <c r="R189" s="2" t="s">
        <v>69</v>
      </c>
      <c r="S189">
        <v>5</v>
      </c>
      <c r="T189">
        <v>3</v>
      </c>
      <c r="U189">
        <v>4</v>
      </c>
      <c r="V189">
        <v>4</v>
      </c>
      <c r="W189">
        <v>4</v>
      </c>
      <c r="X189">
        <v>0</v>
      </c>
      <c r="Y189" s="2" t="s">
        <v>69</v>
      </c>
      <c r="Z189">
        <v>5</v>
      </c>
      <c r="AA189">
        <v>3</v>
      </c>
      <c r="AB189">
        <v>4</v>
      </c>
      <c r="AC189">
        <v>4</v>
      </c>
      <c r="AD189">
        <v>4</v>
      </c>
      <c r="AE189">
        <v>0</v>
      </c>
      <c r="AF189" s="10" t="s">
        <v>258</v>
      </c>
      <c r="AH189" s="8">
        <v>187</v>
      </c>
      <c r="AI189">
        <v>0</v>
      </c>
      <c r="AJ189">
        <v>0</v>
      </c>
      <c r="AK189" s="8" t="s">
        <v>315</v>
      </c>
      <c r="AL189" t="s">
        <v>316</v>
      </c>
      <c r="AM189" t="str">
        <f t="shared" si="45"/>
        <v>Honest</v>
      </c>
      <c r="AO189">
        <f t="shared" si="32"/>
        <v>2</v>
      </c>
      <c r="AP189">
        <f t="shared" si="33"/>
        <v>2</v>
      </c>
      <c r="AQ189">
        <f t="shared" si="34"/>
        <v>1</v>
      </c>
      <c r="AR189">
        <f t="shared" si="35"/>
        <v>4</v>
      </c>
      <c r="AS189">
        <f t="shared" si="46"/>
        <v>4</v>
      </c>
      <c r="AT189">
        <f t="shared" si="36"/>
        <v>2</v>
      </c>
      <c r="AU189">
        <f t="shared" si="37"/>
        <v>3</v>
      </c>
      <c r="AV189" s="19">
        <f t="shared" si="47"/>
        <v>2.3333333333333335</v>
      </c>
      <c r="AX189"/>
      <c r="AY189">
        <v>5</v>
      </c>
      <c r="AZ189">
        <v>2</v>
      </c>
      <c r="BA189">
        <v>6</v>
      </c>
      <c r="BB189">
        <v>2</v>
      </c>
      <c r="BC189">
        <v>3</v>
      </c>
      <c r="BD189">
        <v>2</v>
      </c>
      <c r="BE189">
        <f t="shared" si="38"/>
        <v>8</v>
      </c>
      <c r="BF189">
        <f t="shared" si="39"/>
        <v>1</v>
      </c>
      <c r="BG189">
        <f t="shared" si="40"/>
        <v>9</v>
      </c>
      <c r="BH189" s="8"/>
      <c r="BI189">
        <v>5</v>
      </c>
      <c r="BJ189">
        <v>2</v>
      </c>
      <c r="BK189">
        <v>6</v>
      </c>
      <c r="BL189">
        <v>2</v>
      </c>
      <c r="BM189">
        <v>3</v>
      </c>
      <c r="BN189">
        <v>2</v>
      </c>
      <c r="BO189">
        <f t="shared" si="41"/>
        <v>8</v>
      </c>
      <c r="BP189">
        <f t="shared" si="42"/>
        <v>0</v>
      </c>
      <c r="BQ189">
        <f t="shared" si="43"/>
        <v>8</v>
      </c>
      <c r="BR189">
        <f t="shared" si="44"/>
        <v>17</v>
      </c>
    </row>
    <row r="190" spans="1:70" s="4" customFormat="1" ht="60" x14ac:dyDescent="0.25">
      <c r="A190" s="2" t="s">
        <v>33</v>
      </c>
      <c r="B190">
        <v>100</v>
      </c>
      <c r="C190">
        <v>264</v>
      </c>
      <c r="D190" s="2" t="s">
        <v>62</v>
      </c>
      <c r="E190" s="1">
        <v>44608.428974803239</v>
      </c>
      <c r="F190" s="2" t="s">
        <v>63</v>
      </c>
      <c r="G190" s="2" t="s">
        <v>63</v>
      </c>
      <c r="H190" s="2" t="s">
        <v>63</v>
      </c>
      <c r="I190" s="2" t="s">
        <v>63</v>
      </c>
      <c r="J190" s="2" t="s">
        <v>64</v>
      </c>
      <c r="K190" s="2" t="s">
        <v>65</v>
      </c>
      <c r="L190" s="2" t="s">
        <v>66</v>
      </c>
      <c r="M190" s="2" t="s">
        <v>71</v>
      </c>
      <c r="N190" s="2" t="s">
        <v>66</v>
      </c>
      <c r="O190" s="2" t="s">
        <v>78</v>
      </c>
      <c r="P190" s="2" t="s">
        <v>75</v>
      </c>
      <c r="Q190" s="2" t="s">
        <v>71</v>
      </c>
      <c r="R190" s="2" t="s">
        <v>72</v>
      </c>
      <c r="S190">
        <v>2</v>
      </c>
      <c r="T190">
        <v>5</v>
      </c>
      <c r="U190">
        <v>2</v>
      </c>
      <c r="V190">
        <v>4</v>
      </c>
      <c r="W190">
        <v>4</v>
      </c>
      <c r="X190">
        <v>3</v>
      </c>
      <c r="Y190" s="2" t="s">
        <v>72</v>
      </c>
      <c r="Z190">
        <v>3</v>
      </c>
      <c r="AA190">
        <v>5</v>
      </c>
      <c r="AB190">
        <v>2</v>
      </c>
      <c r="AC190">
        <v>3</v>
      </c>
      <c r="AD190">
        <v>3</v>
      </c>
      <c r="AE190">
        <v>4</v>
      </c>
      <c r="AF190" s="10" t="s">
        <v>259</v>
      </c>
      <c r="AH190" s="8">
        <v>188</v>
      </c>
      <c r="AI190">
        <v>1</v>
      </c>
      <c r="AJ190">
        <v>16</v>
      </c>
      <c r="AK190" s="8" t="s">
        <v>317</v>
      </c>
      <c r="AL190" t="s">
        <v>320</v>
      </c>
      <c r="AM190" t="str">
        <f t="shared" si="45"/>
        <v>Lie</v>
      </c>
      <c r="AO190">
        <f t="shared" si="32"/>
        <v>1</v>
      </c>
      <c r="AP190">
        <f t="shared" si="33"/>
        <v>2</v>
      </c>
      <c r="AQ190">
        <f t="shared" si="34"/>
        <v>1</v>
      </c>
      <c r="AR190">
        <f t="shared" si="35"/>
        <v>7</v>
      </c>
      <c r="AS190">
        <f t="shared" si="46"/>
        <v>1</v>
      </c>
      <c r="AT190">
        <f t="shared" si="36"/>
        <v>4</v>
      </c>
      <c r="AU190">
        <f t="shared" si="37"/>
        <v>2</v>
      </c>
      <c r="AV190" s="19">
        <f t="shared" si="47"/>
        <v>1.8333333333333333</v>
      </c>
      <c r="AX190"/>
      <c r="AY190">
        <v>1</v>
      </c>
      <c r="AZ190">
        <v>2</v>
      </c>
      <c r="BA190">
        <v>4</v>
      </c>
      <c r="BB190">
        <v>1</v>
      </c>
      <c r="BC190">
        <v>0</v>
      </c>
      <c r="BD190">
        <v>3</v>
      </c>
      <c r="BE190">
        <f t="shared" si="38"/>
        <v>13</v>
      </c>
      <c r="BF190">
        <f t="shared" si="39"/>
        <v>0</v>
      </c>
      <c r="BG190">
        <f t="shared" si="40"/>
        <v>13</v>
      </c>
      <c r="BH190" s="8"/>
      <c r="BI190">
        <v>3</v>
      </c>
      <c r="BJ190">
        <v>5</v>
      </c>
      <c r="BK190">
        <v>4</v>
      </c>
      <c r="BL190">
        <v>0</v>
      </c>
      <c r="BM190">
        <v>4</v>
      </c>
      <c r="BN190">
        <v>4</v>
      </c>
      <c r="BO190">
        <f t="shared" si="41"/>
        <v>6</v>
      </c>
      <c r="BP190">
        <f t="shared" si="42"/>
        <v>1</v>
      </c>
      <c r="BQ190">
        <f t="shared" si="43"/>
        <v>7</v>
      </c>
      <c r="BR190">
        <f t="shared" si="44"/>
        <v>20</v>
      </c>
    </row>
    <row r="191" spans="1:70" ht="45" x14ac:dyDescent="0.25">
      <c r="A191" s="2" t="s">
        <v>33</v>
      </c>
      <c r="B191">
        <v>100</v>
      </c>
      <c r="C191">
        <v>189</v>
      </c>
      <c r="D191" s="2" t="s">
        <v>62</v>
      </c>
      <c r="E191" s="1">
        <v>44608.430991493056</v>
      </c>
      <c r="F191" s="2" t="s">
        <v>63</v>
      </c>
      <c r="G191" s="2" t="s">
        <v>63</v>
      </c>
      <c r="H191" s="2" t="s">
        <v>63</v>
      </c>
      <c r="I191" s="2" t="s">
        <v>63</v>
      </c>
      <c r="J191" s="2" t="s">
        <v>64</v>
      </c>
      <c r="K191" s="2" t="s">
        <v>65</v>
      </c>
      <c r="L191" s="2" t="s">
        <v>66</v>
      </c>
      <c r="M191" s="2" t="s">
        <v>71</v>
      </c>
      <c r="N191" s="2" t="s">
        <v>66</v>
      </c>
      <c r="O191" s="2" t="s">
        <v>67</v>
      </c>
      <c r="P191" s="2" t="s">
        <v>81</v>
      </c>
      <c r="Q191" s="2" t="s">
        <v>71</v>
      </c>
      <c r="R191" s="2" t="s">
        <v>72</v>
      </c>
      <c r="S191">
        <v>2</v>
      </c>
      <c r="T191">
        <v>5</v>
      </c>
      <c r="U191">
        <v>8</v>
      </c>
      <c r="V191">
        <v>0</v>
      </c>
      <c r="W191">
        <v>0</v>
      </c>
      <c r="X191">
        <v>5</v>
      </c>
      <c r="Y191" s="2" t="s">
        <v>72</v>
      </c>
      <c r="Z191">
        <v>3</v>
      </c>
      <c r="AA191">
        <v>4</v>
      </c>
      <c r="AB191">
        <v>6</v>
      </c>
      <c r="AC191">
        <v>0</v>
      </c>
      <c r="AD191">
        <v>0</v>
      </c>
      <c r="AE191">
        <v>7</v>
      </c>
      <c r="AF191" s="10" t="s">
        <v>260</v>
      </c>
      <c r="AG191" s="4"/>
      <c r="AH191" s="8">
        <v>189</v>
      </c>
      <c r="AI191">
        <v>1</v>
      </c>
      <c r="AJ191">
        <v>0</v>
      </c>
      <c r="AK191" s="8" t="s">
        <v>317</v>
      </c>
      <c r="AL191" t="s">
        <v>318</v>
      </c>
      <c r="AM191" t="str">
        <f t="shared" si="45"/>
        <v>Honest</v>
      </c>
      <c r="AN191" s="4"/>
      <c r="AO191">
        <f t="shared" si="32"/>
        <v>1</v>
      </c>
      <c r="AP191">
        <f t="shared" si="33"/>
        <v>2</v>
      </c>
      <c r="AQ191">
        <f t="shared" si="34"/>
        <v>1</v>
      </c>
      <c r="AR191">
        <f t="shared" si="35"/>
        <v>6</v>
      </c>
      <c r="AS191">
        <f t="shared" si="46"/>
        <v>2</v>
      </c>
      <c r="AT191">
        <f t="shared" si="36"/>
        <v>5</v>
      </c>
      <c r="AU191">
        <f t="shared" si="37"/>
        <v>2</v>
      </c>
      <c r="AV191" s="19">
        <f t="shared" si="47"/>
        <v>2.1666666666666665</v>
      </c>
      <c r="AW191" s="4"/>
      <c r="AY191">
        <v>3</v>
      </c>
      <c r="AZ191">
        <v>3</v>
      </c>
      <c r="BA191">
        <v>4</v>
      </c>
      <c r="BB191">
        <v>3</v>
      </c>
      <c r="BC191">
        <v>2</v>
      </c>
      <c r="BD191">
        <v>5</v>
      </c>
      <c r="BE191">
        <f t="shared" si="38"/>
        <v>12</v>
      </c>
      <c r="BF191">
        <f t="shared" si="39"/>
        <v>0</v>
      </c>
      <c r="BG191">
        <f t="shared" si="40"/>
        <v>12</v>
      </c>
      <c r="BI191">
        <v>3</v>
      </c>
      <c r="BJ191">
        <v>3</v>
      </c>
      <c r="BK191">
        <v>4</v>
      </c>
      <c r="BL191">
        <v>3</v>
      </c>
      <c r="BM191">
        <v>2</v>
      </c>
      <c r="BN191">
        <v>5</v>
      </c>
      <c r="BO191">
        <f t="shared" si="41"/>
        <v>10</v>
      </c>
      <c r="BP191">
        <f t="shared" si="42"/>
        <v>1</v>
      </c>
      <c r="BQ191">
        <f t="shared" si="43"/>
        <v>11</v>
      </c>
      <c r="BR191">
        <f t="shared" si="44"/>
        <v>23</v>
      </c>
    </row>
    <row r="192" spans="1:70" ht="30" x14ac:dyDescent="0.25">
      <c r="A192" s="2" t="s">
        <v>33</v>
      </c>
      <c r="B192">
        <v>100</v>
      </c>
      <c r="C192">
        <v>249</v>
      </c>
      <c r="D192" s="2" t="s">
        <v>62</v>
      </c>
      <c r="E192" s="1">
        <v>44608.452664317127</v>
      </c>
      <c r="F192" s="2" t="s">
        <v>63</v>
      </c>
      <c r="G192" s="2" t="s">
        <v>63</v>
      </c>
      <c r="H192" s="2" t="s">
        <v>63</v>
      </c>
      <c r="I192" s="2" t="s">
        <v>63</v>
      </c>
      <c r="J192" s="2" t="s">
        <v>64</v>
      </c>
      <c r="K192" s="2" t="s">
        <v>65</v>
      </c>
      <c r="L192" s="2" t="s">
        <v>66</v>
      </c>
      <c r="M192" s="2" t="s">
        <v>71</v>
      </c>
      <c r="N192" s="2" t="s">
        <v>66</v>
      </c>
      <c r="O192" s="2" t="s">
        <v>67</v>
      </c>
      <c r="P192" s="2" t="s">
        <v>71</v>
      </c>
      <c r="Q192" s="2" t="s">
        <v>74</v>
      </c>
      <c r="R192" s="2" t="s">
        <v>72</v>
      </c>
      <c r="S192">
        <v>2</v>
      </c>
      <c r="T192">
        <v>5</v>
      </c>
      <c r="U192">
        <v>2</v>
      </c>
      <c r="V192">
        <v>4</v>
      </c>
      <c r="W192">
        <v>3</v>
      </c>
      <c r="X192">
        <v>4</v>
      </c>
      <c r="Y192" s="2" t="s">
        <v>72</v>
      </c>
      <c r="Z192">
        <v>2</v>
      </c>
      <c r="AA192">
        <v>4</v>
      </c>
      <c r="AB192">
        <v>2</v>
      </c>
      <c r="AC192">
        <v>4</v>
      </c>
      <c r="AD192">
        <v>3</v>
      </c>
      <c r="AE192">
        <v>5</v>
      </c>
      <c r="AF192" s="10" t="s">
        <v>261</v>
      </c>
      <c r="AG192" s="4"/>
      <c r="AH192" s="8">
        <v>190</v>
      </c>
      <c r="AI192">
        <v>1</v>
      </c>
      <c r="AJ192">
        <v>0</v>
      </c>
      <c r="AK192" s="8" t="s">
        <v>315</v>
      </c>
      <c r="AL192" t="s">
        <v>316</v>
      </c>
      <c r="AM192" t="str">
        <f t="shared" si="45"/>
        <v>Honest</v>
      </c>
      <c r="AN192" s="4"/>
      <c r="AO192">
        <f t="shared" si="32"/>
        <v>1</v>
      </c>
      <c r="AP192">
        <f t="shared" si="33"/>
        <v>2</v>
      </c>
      <c r="AQ192">
        <f t="shared" si="34"/>
        <v>1</v>
      </c>
      <c r="AR192">
        <f t="shared" si="35"/>
        <v>6</v>
      </c>
      <c r="AS192">
        <f t="shared" si="46"/>
        <v>2</v>
      </c>
      <c r="AT192">
        <f t="shared" si="36"/>
        <v>2</v>
      </c>
      <c r="AU192">
        <f t="shared" si="37"/>
        <v>3</v>
      </c>
      <c r="AV192" s="19">
        <f t="shared" si="47"/>
        <v>1.8333333333333333</v>
      </c>
      <c r="AW192" s="4"/>
      <c r="AY192">
        <v>2</v>
      </c>
      <c r="AZ192">
        <v>4</v>
      </c>
      <c r="BA192">
        <v>3</v>
      </c>
      <c r="BB192">
        <v>3</v>
      </c>
      <c r="BC192">
        <v>2</v>
      </c>
      <c r="BD192">
        <v>6</v>
      </c>
      <c r="BE192">
        <f t="shared" si="38"/>
        <v>6</v>
      </c>
      <c r="BF192">
        <f t="shared" si="39"/>
        <v>0</v>
      </c>
      <c r="BG192">
        <f t="shared" si="40"/>
        <v>6</v>
      </c>
      <c r="BI192">
        <v>2</v>
      </c>
      <c r="BJ192">
        <v>4</v>
      </c>
      <c r="BK192">
        <v>3</v>
      </c>
      <c r="BL192">
        <v>3</v>
      </c>
      <c r="BM192">
        <v>2</v>
      </c>
      <c r="BN192">
        <v>6</v>
      </c>
      <c r="BO192">
        <f t="shared" si="41"/>
        <v>4</v>
      </c>
      <c r="BP192">
        <f t="shared" si="42"/>
        <v>1</v>
      </c>
      <c r="BQ192">
        <f t="shared" si="43"/>
        <v>5</v>
      </c>
      <c r="BR192">
        <f t="shared" si="44"/>
        <v>11</v>
      </c>
    </row>
    <row r="193" spans="1:70" s="4" customFormat="1" ht="30" x14ac:dyDescent="0.25">
      <c r="A193" s="2" t="s">
        <v>33</v>
      </c>
      <c r="B193">
        <v>100</v>
      </c>
      <c r="C193">
        <v>332</v>
      </c>
      <c r="D193" s="2" t="s">
        <v>62</v>
      </c>
      <c r="E193" s="1">
        <v>44608.483026724534</v>
      </c>
      <c r="F193" s="2" t="s">
        <v>63</v>
      </c>
      <c r="G193" s="2" t="s">
        <v>63</v>
      </c>
      <c r="H193" s="2" t="s">
        <v>63</v>
      </c>
      <c r="I193" s="2" t="s">
        <v>63</v>
      </c>
      <c r="J193" s="2" t="s">
        <v>64</v>
      </c>
      <c r="K193" s="2" t="s">
        <v>65</v>
      </c>
      <c r="L193" s="2" t="s">
        <v>71</v>
      </c>
      <c r="M193" s="2" t="s">
        <v>71</v>
      </c>
      <c r="N193" s="2" t="s">
        <v>71</v>
      </c>
      <c r="O193" s="2" t="s">
        <v>67</v>
      </c>
      <c r="P193" s="2" t="s">
        <v>71</v>
      </c>
      <c r="Q193" s="2" t="s">
        <v>71</v>
      </c>
      <c r="R193" s="2" t="s">
        <v>72</v>
      </c>
      <c r="S193">
        <v>4</v>
      </c>
      <c r="T193">
        <v>2</v>
      </c>
      <c r="U193">
        <v>2</v>
      </c>
      <c r="V193">
        <v>5</v>
      </c>
      <c r="W193">
        <v>4</v>
      </c>
      <c r="X193">
        <v>3</v>
      </c>
      <c r="Y193" s="2" t="s">
        <v>68</v>
      </c>
      <c r="Z193">
        <v>3</v>
      </c>
      <c r="AA193">
        <v>2</v>
      </c>
      <c r="AB193">
        <v>2</v>
      </c>
      <c r="AC193">
        <v>5</v>
      </c>
      <c r="AD193">
        <v>4</v>
      </c>
      <c r="AE193">
        <v>4</v>
      </c>
      <c r="AF193" s="10" t="s">
        <v>262</v>
      </c>
      <c r="AH193" s="8">
        <v>191</v>
      </c>
      <c r="AI193">
        <v>0</v>
      </c>
      <c r="AJ193">
        <v>0</v>
      </c>
      <c r="AK193" s="8" t="s">
        <v>315</v>
      </c>
      <c r="AL193" t="s">
        <v>316</v>
      </c>
      <c r="AM193" t="str">
        <f t="shared" si="45"/>
        <v>Honest</v>
      </c>
      <c r="AO193">
        <f t="shared" si="32"/>
        <v>2</v>
      </c>
      <c r="AP193">
        <f t="shared" si="33"/>
        <v>2</v>
      </c>
      <c r="AQ193">
        <f t="shared" si="34"/>
        <v>2</v>
      </c>
      <c r="AR193">
        <f t="shared" si="35"/>
        <v>6</v>
      </c>
      <c r="AS193">
        <f t="shared" si="46"/>
        <v>2</v>
      </c>
      <c r="AT193">
        <f t="shared" si="36"/>
        <v>2</v>
      </c>
      <c r="AU193">
        <f t="shared" si="37"/>
        <v>2</v>
      </c>
      <c r="AV193" s="19">
        <f t="shared" si="47"/>
        <v>2</v>
      </c>
      <c r="AX193"/>
      <c r="AY193">
        <v>4</v>
      </c>
      <c r="AZ193">
        <v>5</v>
      </c>
      <c r="BA193">
        <v>4</v>
      </c>
      <c r="BB193">
        <v>2</v>
      </c>
      <c r="BC193">
        <v>1</v>
      </c>
      <c r="BD193">
        <v>4</v>
      </c>
      <c r="BE193">
        <f t="shared" si="38"/>
        <v>12</v>
      </c>
      <c r="BF193">
        <f t="shared" si="39"/>
        <v>0</v>
      </c>
      <c r="BG193">
        <f t="shared" si="40"/>
        <v>12</v>
      </c>
      <c r="BH193" s="8"/>
      <c r="BI193">
        <v>4</v>
      </c>
      <c r="BJ193">
        <v>5</v>
      </c>
      <c r="BK193">
        <v>4</v>
      </c>
      <c r="BL193">
        <v>2</v>
      </c>
      <c r="BM193">
        <v>1</v>
      </c>
      <c r="BN193">
        <v>4</v>
      </c>
      <c r="BO193">
        <f t="shared" si="41"/>
        <v>12</v>
      </c>
      <c r="BP193">
        <f t="shared" si="42"/>
        <v>1</v>
      </c>
      <c r="BQ193">
        <f t="shared" si="43"/>
        <v>13</v>
      </c>
      <c r="BR193">
        <f t="shared" si="44"/>
        <v>25</v>
      </c>
    </row>
    <row r="194" spans="1:70" ht="60" x14ac:dyDescent="0.25">
      <c r="A194" s="2" t="s">
        <v>33</v>
      </c>
      <c r="B194">
        <v>100</v>
      </c>
      <c r="C194">
        <v>348</v>
      </c>
      <c r="D194" s="2" t="s">
        <v>62</v>
      </c>
      <c r="E194" s="1">
        <v>44608.494593460651</v>
      </c>
      <c r="F194" s="2" t="s">
        <v>63</v>
      </c>
      <c r="G194" s="2" t="s">
        <v>63</v>
      </c>
      <c r="H194" s="2" t="s">
        <v>63</v>
      </c>
      <c r="I194" s="2" t="s">
        <v>63</v>
      </c>
      <c r="J194" s="2" t="s">
        <v>64</v>
      </c>
      <c r="K194" s="2" t="s">
        <v>65</v>
      </c>
      <c r="L194" s="2" t="s">
        <v>66</v>
      </c>
      <c r="M194" s="2" t="s">
        <v>66</v>
      </c>
      <c r="N194" s="2" t="s">
        <v>66</v>
      </c>
      <c r="O194" s="2" t="s">
        <v>75</v>
      </c>
      <c r="P194" s="2" t="s">
        <v>75</v>
      </c>
      <c r="Q194" s="2" t="s">
        <v>75</v>
      </c>
      <c r="R194" s="2" t="s">
        <v>68</v>
      </c>
      <c r="S194">
        <v>4</v>
      </c>
      <c r="T194">
        <v>3</v>
      </c>
      <c r="U194">
        <v>2</v>
      </c>
      <c r="V194">
        <v>9</v>
      </c>
      <c r="W194">
        <v>1</v>
      </c>
      <c r="X194">
        <v>1</v>
      </c>
      <c r="Y194" s="2" t="s">
        <v>69</v>
      </c>
      <c r="Z194">
        <v>1</v>
      </c>
      <c r="AA194">
        <v>10</v>
      </c>
      <c r="AB194">
        <v>1</v>
      </c>
      <c r="AC194">
        <v>6</v>
      </c>
      <c r="AD194">
        <v>0</v>
      </c>
      <c r="AE194">
        <v>2</v>
      </c>
      <c r="AF194" s="10" t="s">
        <v>263</v>
      </c>
      <c r="AG194" s="4"/>
      <c r="AH194" s="8">
        <v>192</v>
      </c>
      <c r="AI194">
        <v>1</v>
      </c>
      <c r="AJ194">
        <v>0</v>
      </c>
      <c r="AK194" s="8" t="s">
        <v>317</v>
      </c>
      <c r="AL194" t="s">
        <v>318</v>
      </c>
      <c r="AM194" t="str">
        <f t="shared" si="45"/>
        <v>Honest</v>
      </c>
      <c r="AN194" s="4"/>
      <c r="AO194">
        <f t="shared" si="32"/>
        <v>1</v>
      </c>
      <c r="AP194">
        <f t="shared" si="33"/>
        <v>1</v>
      </c>
      <c r="AQ194">
        <f t="shared" si="34"/>
        <v>1</v>
      </c>
      <c r="AR194">
        <f t="shared" si="35"/>
        <v>4</v>
      </c>
      <c r="AS194">
        <f t="shared" si="46"/>
        <v>4</v>
      </c>
      <c r="AT194">
        <f t="shared" si="36"/>
        <v>4</v>
      </c>
      <c r="AU194">
        <f t="shared" si="37"/>
        <v>4</v>
      </c>
      <c r="AV194" s="19">
        <f t="shared" si="47"/>
        <v>2.5</v>
      </c>
      <c r="AW194" s="4"/>
      <c r="AY194">
        <v>4</v>
      </c>
      <c r="AZ194">
        <v>2</v>
      </c>
      <c r="BA194">
        <v>2</v>
      </c>
      <c r="BB194">
        <v>4</v>
      </c>
      <c r="BC194">
        <v>6</v>
      </c>
      <c r="BD194">
        <v>2</v>
      </c>
      <c r="BE194">
        <f t="shared" si="38"/>
        <v>12</v>
      </c>
      <c r="BF194">
        <f t="shared" si="39"/>
        <v>1</v>
      </c>
      <c r="BG194">
        <f t="shared" si="40"/>
        <v>13</v>
      </c>
      <c r="BI194">
        <v>4</v>
      </c>
      <c r="BJ194">
        <v>2</v>
      </c>
      <c r="BK194">
        <v>2</v>
      </c>
      <c r="BL194">
        <v>4</v>
      </c>
      <c r="BM194">
        <v>6</v>
      </c>
      <c r="BN194">
        <v>2</v>
      </c>
      <c r="BO194">
        <f t="shared" si="41"/>
        <v>20</v>
      </c>
      <c r="BP194">
        <f t="shared" si="42"/>
        <v>0</v>
      </c>
      <c r="BQ194">
        <f t="shared" si="43"/>
        <v>20</v>
      </c>
      <c r="BR194">
        <f t="shared" si="44"/>
        <v>33</v>
      </c>
    </row>
    <row r="195" spans="1:70" ht="45" x14ac:dyDescent="0.25">
      <c r="A195" s="2" t="s">
        <v>33</v>
      </c>
      <c r="B195">
        <v>100</v>
      </c>
      <c r="C195">
        <v>431</v>
      </c>
      <c r="D195" s="2" t="s">
        <v>62</v>
      </c>
      <c r="E195" s="1">
        <v>44608.542059328705</v>
      </c>
      <c r="F195" s="2" t="s">
        <v>63</v>
      </c>
      <c r="G195" s="2" t="s">
        <v>63</v>
      </c>
      <c r="H195" s="2" t="s">
        <v>63</v>
      </c>
      <c r="I195" s="2" t="s">
        <v>63</v>
      </c>
      <c r="J195" s="2" t="s">
        <v>64</v>
      </c>
      <c r="K195" s="2" t="s">
        <v>65</v>
      </c>
      <c r="L195" s="2" t="s">
        <v>66</v>
      </c>
      <c r="M195" s="2" t="s">
        <v>81</v>
      </c>
      <c r="N195" s="2" t="s">
        <v>71</v>
      </c>
      <c r="O195" s="2" t="s">
        <v>67</v>
      </c>
      <c r="P195" s="2" t="s">
        <v>74</v>
      </c>
      <c r="Q195" s="2" t="s">
        <v>71</v>
      </c>
      <c r="R195" s="2" t="s">
        <v>69</v>
      </c>
      <c r="S195">
        <v>3</v>
      </c>
      <c r="T195">
        <v>4</v>
      </c>
      <c r="U195">
        <v>3</v>
      </c>
      <c r="V195">
        <v>4</v>
      </c>
      <c r="W195">
        <v>4</v>
      </c>
      <c r="X195">
        <v>2</v>
      </c>
      <c r="Y195" s="2" t="s">
        <v>68</v>
      </c>
      <c r="Z195">
        <v>3</v>
      </c>
      <c r="AA195">
        <v>3</v>
      </c>
      <c r="AB195">
        <v>4</v>
      </c>
      <c r="AC195">
        <v>4</v>
      </c>
      <c r="AD195">
        <v>4</v>
      </c>
      <c r="AE195">
        <v>2</v>
      </c>
      <c r="AF195" s="10" t="s">
        <v>264</v>
      </c>
      <c r="AG195" s="4"/>
      <c r="AH195" s="8">
        <v>193</v>
      </c>
      <c r="AI195">
        <v>1</v>
      </c>
      <c r="AJ195">
        <v>0</v>
      </c>
      <c r="AK195" s="8" t="s">
        <v>317</v>
      </c>
      <c r="AL195" t="s">
        <v>318</v>
      </c>
      <c r="AM195" t="str">
        <f t="shared" si="45"/>
        <v>Honest</v>
      </c>
      <c r="AN195" s="4"/>
      <c r="AO195">
        <f t="shared" ref="AO195:AO244" si="48">IF(L195="Strongly agree",1,IF(L195="Agree",2,IF(L195="Somewhat agree",3,IF(L195="Neither agree nor disagree",4,IF(L195="Somewhat disagree",5,IF(L195="Disagree",6, IF(L195="Strongly disagree",7,"ERROR")))))))</f>
        <v>1</v>
      </c>
      <c r="AP195">
        <f t="shared" ref="AP195:AP244" si="49">IF(M195="Strongly agree",1,IF(M195="Agree",2,IF(M195="Somewhat agree",3,IF(M195="Neither agree nor disagree",4,IF(M195="Somewhat disagree",5,IF(M195="Disagree",6, IF(M195="Strongly disagree",7,"ERROR")))))))</f>
        <v>5</v>
      </c>
      <c r="AQ195">
        <f t="shared" ref="AQ195:AQ244" si="50">IF(N195="Strongly agree",1,IF(N195="Agree",2,IF(N195="Somewhat agree",3,IF(N195="Neither agree nor disagree",4,IF(N195="Somewhat disagree",5,IF(N195="Disagree",6, IF(N195="Strongly disagree",7,"ERROR")))))))</f>
        <v>2</v>
      </c>
      <c r="AR195">
        <f t="shared" ref="AR195:AR244" si="51">IF(O195="Strongly agree",1,IF(O195="Agree",2,IF(O195="Somewhat agree",3,IF(O195="Neither agree nor disagree",4,IF(O195="Somewhat disagree",5,IF(O195="Disagree",6, IF(O195="Strongly disagree",7,"ERROR")))))))</f>
        <v>6</v>
      </c>
      <c r="AS195">
        <f t="shared" si="46"/>
        <v>2</v>
      </c>
      <c r="AT195">
        <f t="shared" ref="AT195:AT244" si="52">IF(P195="Strongly agree",1,IF(P195="Agree",2,IF(P195="Somewhat agree",3,IF(P195="Neither agree nor disagree",4,IF(P195="Somewhat disagree",5,IF(P195="Disagree",6, IF(P195="Strongly disagree",7,"ERROR")))))))</f>
        <v>3</v>
      </c>
      <c r="AU195">
        <f t="shared" ref="AU195:AU244" si="53">IF(Q195="Strongly agree",1,IF(Q195="Agree",2,IF(Q195="Somewhat agree",3,IF(Q195="Neither agree nor disagree",4,IF(Q195="Somewhat disagree",5,IF(Q195="Disagree",6, IF(Q195="Strongly disagree",7,"ERROR")))))))</f>
        <v>2</v>
      </c>
      <c r="AV195" s="19">
        <f t="shared" si="47"/>
        <v>2.5</v>
      </c>
      <c r="AW195" s="4"/>
      <c r="AY195">
        <v>7</v>
      </c>
      <c r="AZ195">
        <v>3</v>
      </c>
      <c r="BA195">
        <v>3</v>
      </c>
      <c r="BB195">
        <v>1</v>
      </c>
      <c r="BC195">
        <v>4</v>
      </c>
      <c r="BD195">
        <v>2</v>
      </c>
      <c r="BE195">
        <f t="shared" ref="BE195:BE244" si="54">SUM(ABS(AY195-S195),ABS(AZ195-T195),ABS(BA195-U195),ABS(BB195-V195),ABS(BC195-W195),ABS(BD195-X195))</f>
        <v>8</v>
      </c>
      <c r="BF195">
        <f t="shared" ref="BF195:BF244" si="55">IF(R195="White",0,1)</f>
        <v>1</v>
      </c>
      <c r="BG195">
        <f t="shared" ref="BG195:BG244" si="56">SUM(BE195:BF195)</f>
        <v>9</v>
      </c>
      <c r="BI195">
        <v>7</v>
      </c>
      <c r="BJ195">
        <v>3</v>
      </c>
      <c r="BK195">
        <v>3</v>
      </c>
      <c r="BL195">
        <v>1</v>
      </c>
      <c r="BM195">
        <v>4</v>
      </c>
      <c r="BN195">
        <v>2</v>
      </c>
      <c r="BO195">
        <f t="shared" ref="BO195:BO244" si="57">SUM(ABS(BI195-Z195),ABS(BJ195-AA195),ABS(BK195-AB195),ABS(BL195-AC195),ABS(BM195-AD195),ABS(BN195-AE195))</f>
        <v>8</v>
      </c>
      <c r="BP195">
        <f t="shared" ref="BP195:BP244" si="58">IF(Y195="Black",0,1)</f>
        <v>1</v>
      </c>
      <c r="BQ195">
        <f t="shared" ref="BQ195:BQ244" si="59">SUM(BO195:BP195)</f>
        <v>9</v>
      </c>
      <c r="BR195">
        <f t="shared" ref="BR195:BR244" si="60">SUM(BG195,BQ195)</f>
        <v>18</v>
      </c>
    </row>
    <row r="196" spans="1:70" s="4" customFormat="1" ht="30" x14ac:dyDescent="0.25">
      <c r="A196" s="2" t="s">
        <v>33</v>
      </c>
      <c r="B196">
        <v>100</v>
      </c>
      <c r="C196">
        <v>254</v>
      </c>
      <c r="D196" s="2" t="s">
        <v>62</v>
      </c>
      <c r="E196" s="1">
        <v>44608.54383052083</v>
      </c>
      <c r="F196" s="2" t="s">
        <v>63</v>
      </c>
      <c r="G196" s="2" t="s">
        <v>63</v>
      </c>
      <c r="H196" s="2" t="s">
        <v>63</v>
      </c>
      <c r="I196" s="2" t="s">
        <v>63</v>
      </c>
      <c r="J196" s="2" t="s">
        <v>64</v>
      </c>
      <c r="K196" s="2" t="s">
        <v>65</v>
      </c>
      <c r="L196" s="2" t="s">
        <v>66</v>
      </c>
      <c r="M196" s="2" t="s">
        <v>71</v>
      </c>
      <c r="N196" s="2" t="s">
        <v>66</v>
      </c>
      <c r="O196" s="2" t="s">
        <v>67</v>
      </c>
      <c r="P196" s="2" t="s">
        <v>71</v>
      </c>
      <c r="Q196" s="2" t="s">
        <v>71</v>
      </c>
      <c r="R196" s="2" t="s">
        <v>72</v>
      </c>
      <c r="S196">
        <v>3</v>
      </c>
      <c r="T196">
        <v>5</v>
      </c>
      <c r="U196">
        <v>3</v>
      </c>
      <c r="V196">
        <v>4</v>
      </c>
      <c r="W196">
        <v>3</v>
      </c>
      <c r="X196">
        <v>2</v>
      </c>
      <c r="Y196" s="2" t="s">
        <v>72</v>
      </c>
      <c r="Z196">
        <v>3</v>
      </c>
      <c r="AA196">
        <v>5</v>
      </c>
      <c r="AB196">
        <v>3</v>
      </c>
      <c r="AC196">
        <v>4</v>
      </c>
      <c r="AD196">
        <v>3</v>
      </c>
      <c r="AE196">
        <v>2</v>
      </c>
      <c r="AF196" s="10" t="s">
        <v>265</v>
      </c>
      <c r="AH196" s="8">
        <v>194</v>
      </c>
      <c r="AI196">
        <v>0</v>
      </c>
      <c r="AJ196">
        <v>0</v>
      </c>
      <c r="AK196" s="8" t="s">
        <v>317</v>
      </c>
      <c r="AL196" t="s">
        <v>318</v>
      </c>
      <c r="AM196" t="str">
        <f t="shared" ref="AM196:AM244" si="61">IF(AL196="Honest unLikely-cheat","Honest",IF(AL196="Honest Likely-cheat","Honest","Lie"))</f>
        <v>Honest</v>
      </c>
      <c r="AO196">
        <f t="shared" si="48"/>
        <v>1</v>
      </c>
      <c r="AP196">
        <f t="shared" si="49"/>
        <v>2</v>
      </c>
      <c r="AQ196">
        <f t="shared" si="50"/>
        <v>1</v>
      </c>
      <c r="AR196">
        <f t="shared" si="51"/>
        <v>6</v>
      </c>
      <c r="AS196">
        <f t="shared" ref="AS196:AS244" si="62">8-AR196</f>
        <v>2</v>
      </c>
      <c r="AT196">
        <f t="shared" si="52"/>
        <v>2</v>
      </c>
      <c r="AU196">
        <f t="shared" si="53"/>
        <v>2</v>
      </c>
      <c r="AV196" s="19">
        <f t="shared" ref="AV196:AV244" si="63">AVERAGE(AO196:AQ196,AS196,AT196,AU196)</f>
        <v>1.6666666666666667</v>
      </c>
      <c r="AX196"/>
      <c r="AY196">
        <v>2</v>
      </c>
      <c r="AZ196">
        <v>4</v>
      </c>
      <c r="BA196">
        <v>4</v>
      </c>
      <c r="BB196">
        <v>4</v>
      </c>
      <c r="BC196">
        <v>3</v>
      </c>
      <c r="BD196">
        <v>3</v>
      </c>
      <c r="BE196">
        <f t="shared" si="54"/>
        <v>4</v>
      </c>
      <c r="BF196">
        <f t="shared" si="55"/>
        <v>0</v>
      </c>
      <c r="BG196">
        <f t="shared" si="56"/>
        <v>4</v>
      </c>
      <c r="BH196" s="8"/>
      <c r="BI196">
        <v>2</v>
      </c>
      <c r="BJ196">
        <v>4</v>
      </c>
      <c r="BK196">
        <v>4</v>
      </c>
      <c r="BL196">
        <v>4</v>
      </c>
      <c r="BM196">
        <v>3</v>
      </c>
      <c r="BN196">
        <v>3</v>
      </c>
      <c r="BO196">
        <f t="shared" si="57"/>
        <v>4</v>
      </c>
      <c r="BP196">
        <f t="shared" si="58"/>
        <v>1</v>
      </c>
      <c r="BQ196">
        <f t="shared" si="59"/>
        <v>5</v>
      </c>
      <c r="BR196">
        <f t="shared" si="60"/>
        <v>9</v>
      </c>
    </row>
    <row r="197" spans="1:70" ht="30" x14ac:dyDescent="0.25">
      <c r="A197" s="2" t="s">
        <v>33</v>
      </c>
      <c r="B197">
        <v>100</v>
      </c>
      <c r="C197">
        <v>550</v>
      </c>
      <c r="D197" s="2" t="s">
        <v>62</v>
      </c>
      <c r="E197" s="1">
        <v>44608.557063043983</v>
      </c>
      <c r="F197" s="2" t="s">
        <v>63</v>
      </c>
      <c r="G197" s="2" t="s">
        <v>63</v>
      </c>
      <c r="H197" s="2" t="s">
        <v>63</v>
      </c>
      <c r="I197" s="2" t="s">
        <v>63</v>
      </c>
      <c r="J197" s="2" t="s">
        <v>64</v>
      </c>
      <c r="K197" s="2" t="s">
        <v>65</v>
      </c>
      <c r="L197" s="2" t="s">
        <v>71</v>
      </c>
      <c r="M197" s="2" t="s">
        <v>74</v>
      </c>
      <c r="N197" s="2" t="s">
        <v>66</v>
      </c>
      <c r="O197" s="2" t="s">
        <v>67</v>
      </c>
      <c r="P197" s="2" t="s">
        <v>71</v>
      </c>
      <c r="Q197" s="2" t="s">
        <v>71</v>
      </c>
      <c r="R197" s="2" t="s">
        <v>69</v>
      </c>
      <c r="S197">
        <v>7</v>
      </c>
      <c r="T197">
        <v>3</v>
      </c>
      <c r="U197">
        <v>1</v>
      </c>
      <c r="V197">
        <v>3</v>
      </c>
      <c r="W197">
        <v>5</v>
      </c>
      <c r="X197">
        <v>1</v>
      </c>
      <c r="Y197" s="2" t="s">
        <v>72</v>
      </c>
      <c r="Z197">
        <v>5</v>
      </c>
      <c r="AA197">
        <v>5</v>
      </c>
      <c r="AB197">
        <v>5</v>
      </c>
      <c r="AC197">
        <v>0</v>
      </c>
      <c r="AD197">
        <v>5</v>
      </c>
      <c r="AE197">
        <v>0</v>
      </c>
      <c r="AF197" s="10" t="s">
        <v>266</v>
      </c>
      <c r="AG197" s="4"/>
      <c r="AH197" s="8">
        <v>195</v>
      </c>
      <c r="AI197">
        <v>0</v>
      </c>
      <c r="AJ197">
        <v>0</v>
      </c>
      <c r="AK197" s="8" t="s">
        <v>315</v>
      </c>
      <c r="AL197" t="s">
        <v>316</v>
      </c>
      <c r="AM197" t="str">
        <f t="shared" si="61"/>
        <v>Honest</v>
      </c>
      <c r="AN197" s="4"/>
      <c r="AO197">
        <f t="shared" si="48"/>
        <v>2</v>
      </c>
      <c r="AP197">
        <f t="shared" si="49"/>
        <v>3</v>
      </c>
      <c r="AQ197">
        <f t="shared" si="50"/>
        <v>1</v>
      </c>
      <c r="AR197">
        <f t="shared" si="51"/>
        <v>6</v>
      </c>
      <c r="AS197">
        <f t="shared" si="62"/>
        <v>2</v>
      </c>
      <c r="AT197">
        <f t="shared" si="52"/>
        <v>2</v>
      </c>
      <c r="AU197">
        <f t="shared" si="53"/>
        <v>2</v>
      </c>
      <c r="AV197" s="19">
        <f t="shared" si="63"/>
        <v>2</v>
      </c>
      <c r="AW197" s="4"/>
      <c r="AY197">
        <v>6</v>
      </c>
      <c r="AZ197">
        <v>1</v>
      </c>
      <c r="BA197">
        <v>3</v>
      </c>
      <c r="BB197">
        <v>3</v>
      </c>
      <c r="BC197">
        <v>5</v>
      </c>
      <c r="BD197">
        <v>2</v>
      </c>
      <c r="BE197">
        <f t="shared" si="54"/>
        <v>6</v>
      </c>
      <c r="BF197">
        <f t="shared" si="55"/>
        <v>1</v>
      </c>
      <c r="BG197">
        <f t="shared" si="56"/>
        <v>7</v>
      </c>
      <c r="BI197">
        <v>6</v>
      </c>
      <c r="BJ197">
        <v>1</v>
      </c>
      <c r="BK197">
        <v>3</v>
      </c>
      <c r="BL197">
        <v>3</v>
      </c>
      <c r="BM197">
        <v>5</v>
      </c>
      <c r="BN197">
        <v>2</v>
      </c>
      <c r="BO197">
        <f t="shared" si="57"/>
        <v>12</v>
      </c>
      <c r="BP197">
        <f t="shared" si="58"/>
        <v>1</v>
      </c>
      <c r="BQ197">
        <f t="shared" si="59"/>
        <v>13</v>
      </c>
      <c r="BR197">
        <f t="shared" si="60"/>
        <v>20</v>
      </c>
    </row>
    <row r="198" spans="1:70" ht="30" x14ac:dyDescent="0.25">
      <c r="A198" s="2" t="s">
        <v>33</v>
      </c>
      <c r="B198">
        <v>100</v>
      </c>
      <c r="C198">
        <v>516</v>
      </c>
      <c r="D198" s="2" t="s">
        <v>62</v>
      </c>
      <c r="E198" s="1">
        <v>44608.591988599539</v>
      </c>
      <c r="F198" s="2" t="s">
        <v>63</v>
      </c>
      <c r="G198" s="2" t="s">
        <v>63</v>
      </c>
      <c r="H198" s="2" t="s">
        <v>63</v>
      </c>
      <c r="I198" s="2" t="s">
        <v>63</v>
      </c>
      <c r="J198" s="2" t="s">
        <v>64</v>
      </c>
      <c r="K198" s="2" t="s">
        <v>65</v>
      </c>
      <c r="L198" s="2" t="s">
        <v>66</v>
      </c>
      <c r="M198" s="2" t="s">
        <v>71</v>
      </c>
      <c r="N198" s="2" t="s">
        <v>66</v>
      </c>
      <c r="O198" s="2" t="s">
        <v>67</v>
      </c>
      <c r="P198" s="2" t="s">
        <v>71</v>
      </c>
      <c r="Q198" s="2" t="s">
        <v>71</v>
      </c>
      <c r="R198" s="2" t="s">
        <v>72</v>
      </c>
      <c r="S198">
        <v>3</v>
      </c>
      <c r="T198">
        <v>5</v>
      </c>
      <c r="U198">
        <v>4</v>
      </c>
      <c r="V198">
        <v>4</v>
      </c>
      <c r="W198">
        <v>2</v>
      </c>
      <c r="X198">
        <v>2</v>
      </c>
      <c r="Y198" s="2" t="s">
        <v>68</v>
      </c>
      <c r="Z198">
        <v>3</v>
      </c>
      <c r="AA198">
        <v>5</v>
      </c>
      <c r="AB198">
        <v>2</v>
      </c>
      <c r="AC198">
        <v>4</v>
      </c>
      <c r="AD198">
        <v>3</v>
      </c>
      <c r="AE198">
        <v>3</v>
      </c>
      <c r="AF198" s="10" t="s">
        <v>267</v>
      </c>
      <c r="AG198" s="4"/>
      <c r="AH198" s="8">
        <v>196</v>
      </c>
      <c r="AI198">
        <v>0</v>
      </c>
      <c r="AJ198">
        <v>0</v>
      </c>
      <c r="AK198" s="8" t="s">
        <v>315</v>
      </c>
      <c r="AL198" t="s">
        <v>316</v>
      </c>
      <c r="AM198" t="str">
        <f t="shared" si="61"/>
        <v>Honest</v>
      </c>
      <c r="AN198" s="4"/>
      <c r="AO198">
        <f t="shared" si="48"/>
        <v>1</v>
      </c>
      <c r="AP198">
        <f t="shared" si="49"/>
        <v>2</v>
      </c>
      <c r="AQ198">
        <f t="shared" si="50"/>
        <v>1</v>
      </c>
      <c r="AR198">
        <f t="shared" si="51"/>
        <v>6</v>
      </c>
      <c r="AS198">
        <f t="shared" si="62"/>
        <v>2</v>
      </c>
      <c r="AT198">
        <f t="shared" si="52"/>
        <v>2</v>
      </c>
      <c r="AU198">
        <f t="shared" si="53"/>
        <v>2</v>
      </c>
      <c r="AV198" s="19">
        <f t="shared" si="63"/>
        <v>1.6666666666666667</v>
      </c>
      <c r="AW198" s="4"/>
      <c r="AY198">
        <v>6</v>
      </c>
      <c r="AZ198">
        <v>2</v>
      </c>
      <c r="BA198">
        <v>2</v>
      </c>
      <c r="BB198">
        <v>4</v>
      </c>
      <c r="BC198">
        <v>2</v>
      </c>
      <c r="BD198">
        <v>4</v>
      </c>
      <c r="BE198">
        <f t="shared" si="54"/>
        <v>10</v>
      </c>
      <c r="BF198">
        <f t="shared" si="55"/>
        <v>0</v>
      </c>
      <c r="BG198">
        <f t="shared" si="56"/>
        <v>10</v>
      </c>
      <c r="BI198">
        <v>6</v>
      </c>
      <c r="BJ198">
        <v>2</v>
      </c>
      <c r="BK198">
        <v>2</v>
      </c>
      <c r="BL198">
        <v>4</v>
      </c>
      <c r="BM198">
        <v>2</v>
      </c>
      <c r="BN198">
        <v>4</v>
      </c>
      <c r="BO198">
        <f t="shared" si="57"/>
        <v>8</v>
      </c>
      <c r="BP198">
        <f t="shared" si="58"/>
        <v>1</v>
      </c>
      <c r="BQ198">
        <f t="shared" si="59"/>
        <v>9</v>
      </c>
      <c r="BR198">
        <f t="shared" si="60"/>
        <v>19</v>
      </c>
    </row>
    <row r="199" spans="1:70" s="4" customFormat="1" ht="60" x14ac:dyDescent="0.25">
      <c r="A199" s="2" t="s">
        <v>33</v>
      </c>
      <c r="B199">
        <v>100</v>
      </c>
      <c r="C199">
        <v>202</v>
      </c>
      <c r="D199" s="2" t="s">
        <v>62</v>
      </c>
      <c r="E199" s="1">
        <v>44608.600366759259</v>
      </c>
      <c r="F199" s="2" t="s">
        <v>63</v>
      </c>
      <c r="G199" s="2" t="s">
        <v>63</v>
      </c>
      <c r="H199" s="2" t="s">
        <v>63</v>
      </c>
      <c r="I199" s="2" t="s">
        <v>63</v>
      </c>
      <c r="J199" s="2" t="s">
        <v>64</v>
      </c>
      <c r="K199" s="2" t="s">
        <v>65</v>
      </c>
      <c r="L199" s="2" t="s">
        <v>71</v>
      </c>
      <c r="M199" s="2" t="s">
        <v>71</v>
      </c>
      <c r="N199" s="2" t="s">
        <v>71</v>
      </c>
      <c r="O199" s="2" t="s">
        <v>75</v>
      </c>
      <c r="P199" s="2" t="s">
        <v>71</v>
      </c>
      <c r="Q199" s="2" t="s">
        <v>81</v>
      </c>
      <c r="R199" s="2" t="s">
        <v>72</v>
      </c>
      <c r="S199">
        <v>3</v>
      </c>
      <c r="T199">
        <v>6</v>
      </c>
      <c r="U199">
        <v>1</v>
      </c>
      <c r="V199">
        <v>5</v>
      </c>
      <c r="W199">
        <v>2</v>
      </c>
      <c r="X199">
        <v>3</v>
      </c>
      <c r="Y199" s="2" t="s">
        <v>72</v>
      </c>
      <c r="Z199">
        <v>1</v>
      </c>
      <c r="AA199">
        <v>5</v>
      </c>
      <c r="AB199">
        <v>3</v>
      </c>
      <c r="AC199">
        <v>2</v>
      </c>
      <c r="AD199">
        <v>4</v>
      </c>
      <c r="AE199">
        <v>5</v>
      </c>
      <c r="AF199" s="10" t="s">
        <v>268</v>
      </c>
      <c r="AH199" s="8">
        <v>197</v>
      </c>
      <c r="AI199">
        <v>0</v>
      </c>
      <c r="AJ199">
        <v>15</v>
      </c>
      <c r="AK199" s="8" t="s">
        <v>315</v>
      </c>
      <c r="AL199" t="s">
        <v>319</v>
      </c>
      <c r="AM199" t="str">
        <f t="shared" si="61"/>
        <v>Lie</v>
      </c>
      <c r="AO199">
        <f t="shared" si="48"/>
        <v>2</v>
      </c>
      <c r="AP199">
        <f t="shared" si="49"/>
        <v>2</v>
      </c>
      <c r="AQ199">
        <f t="shared" si="50"/>
        <v>2</v>
      </c>
      <c r="AR199">
        <f t="shared" si="51"/>
        <v>4</v>
      </c>
      <c r="AS199">
        <f t="shared" si="62"/>
        <v>4</v>
      </c>
      <c r="AT199">
        <f t="shared" si="52"/>
        <v>2</v>
      </c>
      <c r="AU199">
        <f t="shared" si="53"/>
        <v>5</v>
      </c>
      <c r="AV199" s="19">
        <f t="shared" si="63"/>
        <v>2.8333333333333335</v>
      </c>
      <c r="AX199"/>
      <c r="AY199">
        <v>2</v>
      </c>
      <c r="AZ199">
        <v>5</v>
      </c>
      <c r="BA199">
        <v>4</v>
      </c>
      <c r="BB199">
        <v>3</v>
      </c>
      <c r="BC199">
        <v>2</v>
      </c>
      <c r="BD199">
        <v>4</v>
      </c>
      <c r="BE199">
        <f t="shared" si="54"/>
        <v>8</v>
      </c>
      <c r="BF199">
        <f t="shared" si="55"/>
        <v>0</v>
      </c>
      <c r="BG199">
        <f t="shared" si="56"/>
        <v>8</v>
      </c>
      <c r="BH199" s="8"/>
      <c r="BI199">
        <v>3</v>
      </c>
      <c r="BJ199">
        <v>6</v>
      </c>
      <c r="BK199">
        <v>2</v>
      </c>
      <c r="BL199">
        <v>2</v>
      </c>
      <c r="BM199">
        <v>5</v>
      </c>
      <c r="BN199">
        <v>2</v>
      </c>
      <c r="BO199">
        <f t="shared" si="57"/>
        <v>8</v>
      </c>
      <c r="BP199">
        <f t="shared" si="58"/>
        <v>1</v>
      </c>
      <c r="BQ199">
        <f t="shared" si="59"/>
        <v>9</v>
      </c>
      <c r="BR199">
        <f t="shared" si="60"/>
        <v>17</v>
      </c>
    </row>
    <row r="200" spans="1:70" ht="30" x14ac:dyDescent="0.25">
      <c r="A200" s="2" t="s">
        <v>33</v>
      </c>
      <c r="B200">
        <v>100</v>
      </c>
      <c r="C200">
        <v>347</v>
      </c>
      <c r="D200" s="2" t="s">
        <v>62</v>
      </c>
      <c r="E200" s="1">
        <v>44608.604424722223</v>
      </c>
      <c r="F200" s="2" t="s">
        <v>63</v>
      </c>
      <c r="G200" s="2" t="s">
        <v>63</v>
      </c>
      <c r="H200" s="2" t="s">
        <v>63</v>
      </c>
      <c r="I200" s="2" t="s">
        <v>63</v>
      </c>
      <c r="J200" s="2" t="s">
        <v>64</v>
      </c>
      <c r="K200" s="2" t="s">
        <v>65</v>
      </c>
      <c r="L200" s="2" t="s">
        <v>66</v>
      </c>
      <c r="M200" s="2" t="s">
        <v>66</v>
      </c>
      <c r="N200" s="2" t="s">
        <v>74</v>
      </c>
      <c r="O200" s="2" t="s">
        <v>74</v>
      </c>
      <c r="P200" s="2" t="s">
        <v>66</v>
      </c>
      <c r="Q200" s="2" t="s">
        <v>66</v>
      </c>
      <c r="R200" s="2" t="s">
        <v>68</v>
      </c>
      <c r="S200">
        <v>0</v>
      </c>
      <c r="T200">
        <v>4</v>
      </c>
      <c r="U200">
        <v>4</v>
      </c>
      <c r="V200">
        <v>3</v>
      </c>
      <c r="W200">
        <v>6</v>
      </c>
      <c r="X200">
        <v>3</v>
      </c>
      <c r="Y200" s="2" t="s">
        <v>68</v>
      </c>
      <c r="Z200">
        <v>0</v>
      </c>
      <c r="AA200">
        <v>4</v>
      </c>
      <c r="AB200">
        <v>4</v>
      </c>
      <c r="AC200">
        <v>6</v>
      </c>
      <c r="AD200">
        <v>4</v>
      </c>
      <c r="AE200">
        <v>2</v>
      </c>
      <c r="AF200" s="10" t="s">
        <v>269</v>
      </c>
      <c r="AG200" s="4"/>
      <c r="AH200" s="8">
        <v>198</v>
      </c>
      <c r="AI200">
        <v>3</v>
      </c>
      <c r="AJ200">
        <v>4</v>
      </c>
      <c r="AK200" s="8" t="s">
        <v>317</v>
      </c>
      <c r="AL200" t="s">
        <v>320</v>
      </c>
      <c r="AM200" t="str">
        <f t="shared" si="61"/>
        <v>Lie</v>
      </c>
      <c r="AN200" s="4"/>
      <c r="AO200">
        <f t="shared" si="48"/>
        <v>1</v>
      </c>
      <c r="AP200">
        <f t="shared" si="49"/>
        <v>1</v>
      </c>
      <c r="AQ200">
        <f t="shared" si="50"/>
        <v>3</v>
      </c>
      <c r="AR200">
        <f t="shared" si="51"/>
        <v>3</v>
      </c>
      <c r="AS200">
        <f t="shared" si="62"/>
        <v>5</v>
      </c>
      <c r="AT200">
        <f t="shared" si="52"/>
        <v>1</v>
      </c>
      <c r="AU200">
        <f t="shared" si="53"/>
        <v>1</v>
      </c>
      <c r="AV200" s="19">
        <f t="shared" si="63"/>
        <v>2</v>
      </c>
      <c r="AW200" s="4"/>
      <c r="AY200">
        <v>3</v>
      </c>
      <c r="AZ200">
        <v>0</v>
      </c>
      <c r="BA200">
        <v>3</v>
      </c>
      <c r="BB200">
        <v>4</v>
      </c>
      <c r="BC200">
        <v>5</v>
      </c>
      <c r="BD200">
        <v>5</v>
      </c>
      <c r="BE200">
        <f t="shared" si="54"/>
        <v>12</v>
      </c>
      <c r="BF200">
        <f t="shared" si="55"/>
        <v>1</v>
      </c>
      <c r="BG200">
        <f t="shared" si="56"/>
        <v>13</v>
      </c>
      <c r="BI200">
        <v>3</v>
      </c>
      <c r="BJ200">
        <v>4</v>
      </c>
      <c r="BK200">
        <v>3</v>
      </c>
      <c r="BL200">
        <v>3</v>
      </c>
      <c r="BM200">
        <v>4</v>
      </c>
      <c r="BN200">
        <v>3</v>
      </c>
      <c r="BO200">
        <f t="shared" si="57"/>
        <v>8</v>
      </c>
      <c r="BP200">
        <f t="shared" si="58"/>
        <v>1</v>
      </c>
      <c r="BQ200">
        <f t="shared" si="59"/>
        <v>9</v>
      </c>
      <c r="BR200">
        <f t="shared" si="60"/>
        <v>22</v>
      </c>
    </row>
    <row r="201" spans="1:70" ht="45" x14ac:dyDescent="0.25">
      <c r="A201" s="2" t="s">
        <v>33</v>
      </c>
      <c r="B201">
        <v>100</v>
      </c>
      <c r="C201">
        <v>309</v>
      </c>
      <c r="D201" s="2" t="s">
        <v>62</v>
      </c>
      <c r="E201" s="1">
        <v>44608.651701261573</v>
      </c>
      <c r="F201" s="2" t="s">
        <v>63</v>
      </c>
      <c r="G201" s="2" t="s">
        <v>63</v>
      </c>
      <c r="H201" s="2" t="s">
        <v>63</v>
      </c>
      <c r="I201" s="2" t="s">
        <v>63</v>
      </c>
      <c r="J201" s="2" t="s">
        <v>64</v>
      </c>
      <c r="K201" s="2" t="s">
        <v>65</v>
      </c>
      <c r="L201" s="2" t="s">
        <v>71</v>
      </c>
      <c r="M201" s="2" t="s">
        <v>74</v>
      </c>
      <c r="N201" s="2" t="s">
        <v>66</v>
      </c>
      <c r="O201" s="2" t="s">
        <v>67</v>
      </c>
      <c r="P201" s="2" t="s">
        <v>71</v>
      </c>
      <c r="Q201" s="2" t="s">
        <v>81</v>
      </c>
      <c r="R201" s="2" t="s">
        <v>72</v>
      </c>
      <c r="S201">
        <v>4</v>
      </c>
      <c r="T201">
        <v>6</v>
      </c>
      <c r="U201">
        <v>3</v>
      </c>
      <c r="V201">
        <v>3</v>
      </c>
      <c r="W201">
        <v>2</v>
      </c>
      <c r="X201">
        <v>2</v>
      </c>
      <c r="Y201" s="2" t="s">
        <v>72</v>
      </c>
      <c r="Z201">
        <v>4</v>
      </c>
      <c r="AA201">
        <v>6</v>
      </c>
      <c r="AB201">
        <v>3</v>
      </c>
      <c r="AC201">
        <v>3</v>
      </c>
      <c r="AD201">
        <v>2</v>
      </c>
      <c r="AE201">
        <v>2</v>
      </c>
      <c r="AF201" s="10" t="s">
        <v>270</v>
      </c>
      <c r="AG201" s="4"/>
      <c r="AH201" s="8">
        <v>199</v>
      </c>
      <c r="AI201">
        <v>0</v>
      </c>
      <c r="AJ201">
        <v>0</v>
      </c>
      <c r="AK201" s="8" t="s">
        <v>317</v>
      </c>
      <c r="AL201" t="s">
        <v>318</v>
      </c>
      <c r="AM201" t="str">
        <f t="shared" si="61"/>
        <v>Honest</v>
      </c>
      <c r="AN201" s="4"/>
      <c r="AO201">
        <f t="shared" si="48"/>
        <v>2</v>
      </c>
      <c r="AP201">
        <f t="shared" si="49"/>
        <v>3</v>
      </c>
      <c r="AQ201">
        <f t="shared" si="50"/>
        <v>1</v>
      </c>
      <c r="AR201">
        <f t="shared" si="51"/>
        <v>6</v>
      </c>
      <c r="AS201">
        <f t="shared" si="62"/>
        <v>2</v>
      </c>
      <c r="AT201">
        <f t="shared" si="52"/>
        <v>2</v>
      </c>
      <c r="AU201">
        <f t="shared" si="53"/>
        <v>5</v>
      </c>
      <c r="AV201" s="19">
        <f t="shared" si="63"/>
        <v>2.5</v>
      </c>
      <c r="AW201" s="4"/>
      <c r="AY201">
        <v>5</v>
      </c>
      <c r="AZ201">
        <v>5</v>
      </c>
      <c r="BA201">
        <v>0</v>
      </c>
      <c r="BB201">
        <v>3</v>
      </c>
      <c r="BC201">
        <v>4</v>
      </c>
      <c r="BD201">
        <v>3</v>
      </c>
      <c r="BE201">
        <f t="shared" si="54"/>
        <v>8</v>
      </c>
      <c r="BF201">
        <f t="shared" si="55"/>
        <v>0</v>
      </c>
      <c r="BG201">
        <f t="shared" si="56"/>
        <v>8</v>
      </c>
      <c r="BI201">
        <v>5</v>
      </c>
      <c r="BJ201">
        <v>5</v>
      </c>
      <c r="BK201">
        <v>0</v>
      </c>
      <c r="BL201">
        <v>3</v>
      </c>
      <c r="BM201">
        <v>4</v>
      </c>
      <c r="BN201">
        <v>3</v>
      </c>
      <c r="BO201">
        <f t="shared" si="57"/>
        <v>8</v>
      </c>
      <c r="BP201">
        <f t="shared" si="58"/>
        <v>1</v>
      </c>
      <c r="BQ201">
        <f t="shared" si="59"/>
        <v>9</v>
      </c>
      <c r="BR201">
        <f t="shared" si="60"/>
        <v>17</v>
      </c>
    </row>
    <row r="202" spans="1:70" ht="60" x14ac:dyDescent="0.25">
      <c r="A202" s="2" t="s">
        <v>33</v>
      </c>
      <c r="B202">
        <v>100</v>
      </c>
      <c r="C202">
        <v>272</v>
      </c>
      <c r="D202" s="2" t="s">
        <v>62</v>
      </c>
      <c r="E202" s="1">
        <v>44609.044214236113</v>
      </c>
      <c r="F202" s="2" t="s">
        <v>63</v>
      </c>
      <c r="G202" s="2" t="s">
        <v>63</v>
      </c>
      <c r="H202" s="2" t="s">
        <v>63</v>
      </c>
      <c r="I202" s="2" t="s">
        <v>63</v>
      </c>
      <c r="J202" s="2" t="s">
        <v>64</v>
      </c>
      <c r="K202" s="2" t="s">
        <v>65</v>
      </c>
      <c r="L202" s="2" t="s">
        <v>66</v>
      </c>
      <c r="M202" s="2" t="s">
        <v>74</v>
      </c>
      <c r="N202" s="2" t="s">
        <v>71</v>
      </c>
      <c r="O202" s="2" t="s">
        <v>67</v>
      </c>
      <c r="P202" s="2" t="s">
        <v>75</v>
      </c>
      <c r="Q202" s="2" t="s">
        <v>74</v>
      </c>
      <c r="R202" s="2" t="s">
        <v>69</v>
      </c>
      <c r="S202">
        <v>3</v>
      </c>
      <c r="T202">
        <v>3</v>
      </c>
      <c r="U202">
        <v>6</v>
      </c>
      <c r="V202">
        <v>3</v>
      </c>
      <c r="W202">
        <v>2</v>
      </c>
      <c r="X202">
        <v>3</v>
      </c>
      <c r="Y202" s="2" t="s">
        <v>69</v>
      </c>
      <c r="Z202">
        <v>2</v>
      </c>
      <c r="AA202">
        <v>3</v>
      </c>
      <c r="AB202">
        <v>5</v>
      </c>
      <c r="AC202">
        <v>4</v>
      </c>
      <c r="AD202">
        <v>3</v>
      </c>
      <c r="AE202">
        <v>3</v>
      </c>
      <c r="AF202" s="10" t="s">
        <v>271</v>
      </c>
      <c r="AG202" s="4"/>
      <c r="AH202" s="8">
        <v>200</v>
      </c>
      <c r="AI202">
        <v>0</v>
      </c>
      <c r="AJ202">
        <v>0</v>
      </c>
      <c r="AK202" s="8" t="s">
        <v>315</v>
      </c>
      <c r="AL202" t="s">
        <v>316</v>
      </c>
      <c r="AM202" t="str">
        <f t="shared" si="61"/>
        <v>Honest</v>
      </c>
      <c r="AN202" s="4"/>
      <c r="AO202">
        <f t="shared" si="48"/>
        <v>1</v>
      </c>
      <c r="AP202">
        <f t="shared" si="49"/>
        <v>3</v>
      </c>
      <c r="AQ202">
        <f t="shared" si="50"/>
        <v>2</v>
      </c>
      <c r="AR202">
        <f t="shared" si="51"/>
        <v>6</v>
      </c>
      <c r="AS202">
        <f t="shared" si="62"/>
        <v>2</v>
      </c>
      <c r="AT202">
        <f t="shared" si="52"/>
        <v>4</v>
      </c>
      <c r="AU202">
        <f t="shared" si="53"/>
        <v>3</v>
      </c>
      <c r="AV202" s="19">
        <f t="shared" si="63"/>
        <v>2.5</v>
      </c>
      <c r="AW202" s="4"/>
      <c r="AY202">
        <v>1</v>
      </c>
      <c r="AZ202">
        <v>4</v>
      </c>
      <c r="BA202">
        <v>4</v>
      </c>
      <c r="BB202">
        <v>5</v>
      </c>
      <c r="BC202">
        <v>3</v>
      </c>
      <c r="BD202">
        <v>3</v>
      </c>
      <c r="BE202">
        <f t="shared" si="54"/>
        <v>8</v>
      </c>
      <c r="BF202">
        <f t="shared" si="55"/>
        <v>1</v>
      </c>
      <c r="BG202">
        <f t="shared" si="56"/>
        <v>9</v>
      </c>
      <c r="BI202">
        <v>1</v>
      </c>
      <c r="BJ202">
        <v>4</v>
      </c>
      <c r="BK202">
        <v>4</v>
      </c>
      <c r="BL202">
        <v>5</v>
      </c>
      <c r="BM202">
        <v>3</v>
      </c>
      <c r="BN202">
        <v>3</v>
      </c>
      <c r="BO202">
        <f t="shared" si="57"/>
        <v>4</v>
      </c>
      <c r="BP202">
        <f t="shared" si="58"/>
        <v>0</v>
      </c>
      <c r="BQ202">
        <f t="shared" si="59"/>
        <v>4</v>
      </c>
      <c r="BR202">
        <f t="shared" si="60"/>
        <v>13</v>
      </c>
    </row>
    <row r="203" spans="1:70" ht="60" x14ac:dyDescent="0.25">
      <c r="A203" s="2" t="s">
        <v>33</v>
      </c>
      <c r="B203">
        <v>100</v>
      </c>
      <c r="C203">
        <v>496</v>
      </c>
      <c r="D203" s="2" t="s">
        <v>62</v>
      </c>
      <c r="E203" s="1">
        <v>44609.058487627313</v>
      </c>
      <c r="F203" s="2" t="s">
        <v>63</v>
      </c>
      <c r="G203" s="2" t="s">
        <v>63</v>
      </c>
      <c r="H203" s="2" t="s">
        <v>63</v>
      </c>
      <c r="I203" s="2" t="s">
        <v>63</v>
      </c>
      <c r="J203" s="2" t="s">
        <v>64</v>
      </c>
      <c r="K203" s="2" t="s">
        <v>65</v>
      </c>
      <c r="L203" s="2" t="s">
        <v>66</v>
      </c>
      <c r="M203" s="2" t="s">
        <v>81</v>
      </c>
      <c r="N203" s="2" t="s">
        <v>71</v>
      </c>
      <c r="O203" s="2" t="s">
        <v>78</v>
      </c>
      <c r="P203" s="2" t="s">
        <v>75</v>
      </c>
      <c r="Q203" s="2" t="s">
        <v>74</v>
      </c>
      <c r="R203" s="2" t="s">
        <v>72</v>
      </c>
      <c r="S203">
        <v>3</v>
      </c>
      <c r="T203">
        <v>4</v>
      </c>
      <c r="U203">
        <v>3</v>
      </c>
      <c r="V203">
        <v>5</v>
      </c>
      <c r="W203">
        <v>2</v>
      </c>
      <c r="X203">
        <v>3</v>
      </c>
      <c r="Y203" s="2" t="s">
        <v>72</v>
      </c>
      <c r="Z203">
        <v>3</v>
      </c>
      <c r="AA203">
        <v>3</v>
      </c>
      <c r="AB203">
        <v>3</v>
      </c>
      <c r="AC203">
        <v>5</v>
      </c>
      <c r="AD203">
        <v>2</v>
      </c>
      <c r="AE203">
        <v>4</v>
      </c>
      <c r="AF203" s="10" t="s">
        <v>272</v>
      </c>
      <c r="AG203" s="4"/>
      <c r="AH203" s="8">
        <v>201</v>
      </c>
      <c r="AI203">
        <v>0</v>
      </c>
      <c r="AJ203">
        <v>17</v>
      </c>
      <c r="AK203" s="8" t="s">
        <v>317</v>
      </c>
      <c r="AL203" t="s">
        <v>320</v>
      </c>
      <c r="AM203" t="str">
        <f t="shared" si="61"/>
        <v>Lie</v>
      </c>
      <c r="AN203" s="4"/>
      <c r="AO203">
        <f t="shared" si="48"/>
        <v>1</v>
      </c>
      <c r="AP203">
        <f t="shared" si="49"/>
        <v>5</v>
      </c>
      <c r="AQ203">
        <f t="shared" si="50"/>
        <v>2</v>
      </c>
      <c r="AR203">
        <f t="shared" si="51"/>
        <v>7</v>
      </c>
      <c r="AS203">
        <f t="shared" si="62"/>
        <v>1</v>
      </c>
      <c r="AT203">
        <f t="shared" si="52"/>
        <v>4</v>
      </c>
      <c r="AU203">
        <f t="shared" si="53"/>
        <v>3</v>
      </c>
      <c r="AV203" s="19">
        <f t="shared" si="63"/>
        <v>2.6666666666666665</v>
      </c>
      <c r="AW203" s="4"/>
      <c r="AY203">
        <v>4</v>
      </c>
      <c r="AZ203">
        <v>6</v>
      </c>
      <c r="BA203">
        <v>2</v>
      </c>
      <c r="BB203">
        <v>4</v>
      </c>
      <c r="BC203">
        <v>4</v>
      </c>
      <c r="BD203">
        <v>0</v>
      </c>
      <c r="BE203">
        <f t="shared" si="54"/>
        <v>10</v>
      </c>
      <c r="BF203">
        <f t="shared" si="55"/>
        <v>0</v>
      </c>
      <c r="BG203">
        <f t="shared" si="56"/>
        <v>10</v>
      </c>
      <c r="BI203">
        <v>3</v>
      </c>
      <c r="BJ203">
        <v>6</v>
      </c>
      <c r="BK203">
        <v>2</v>
      </c>
      <c r="BL203">
        <v>1</v>
      </c>
      <c r="BM203">
        <v>5</v>
      </c>
      <c r="BN203">
        <v>3</v>
      </c>
      <c r="BO203">
        <f t="shared" si="57"/>
        <v>12</v>
      </c>
      <c r="BP203">
        <f t="shared" si="58"/>
        <v>1</v>
      </c>
      <c r="BQ203">
        <f t="shared" si="59"/>
        <v>13</v>
      </c>
      <c r="BR203">
        <f t="shared" si="60"/>
        <v>23</v>
      </c>
    </row>
    <row r="204" spans="1:70" s="4" customFormat="1" ht="60" x14ac:dyDescent="0.25">
      <c r="A204" s="2" t="s">
        <v>33</v>
      </c>
      <c r="B204">
        <v>100</v>
      </c>
      <c r="C204">
        <v>443</v>
      </c>
      <c r="D204" s="2" t="s">
        <v>62</v>
      </c>
      <c r="E204" s="1">
        <v>44609.078434062503</v>
      </c>
      <c r="F204" s="2" t="s">
        <v>63</v>
      </c>
      <c r="G204" s="2" t="s">
        <v>63</v>
      </c>
      <c r="H204" s="2" t="s">
        <v>63</v>
      </c>
      <c r="I204" s="2" t="s">
        <v>63</v>
      </c>
      <c r="J204" s="2" t="s">
        <v>64</v>
      </c>
      <c r="K204" s="2" t="s">
        <v>65</v>
      </c>
      <c r="L204" s="2" t="s">
        <v>71</v>
      </c>
      <c r="M204" s="2" t="s">
        <v>74</v>
      </c>
      <c r="N204" s="2" t="s">
        <v>71</v>
      </c>
      <c r="O204" s="2" t="s">
        <v>74</v>
      </c>
      <c r="P204" s="2" t="s">
        <v>74</v>
      </c>
      <c r="Q204" s="2" t="s">
        <v>75</v>
      </c>
      <c r="R204" s="2" t="s">
        <v>72</v>
      </c>
      <c r="S204">
        <v>3</v>
      </c>
      <c r="T204">
        <v>3</v>
      </c>
      <c r="U204">
        <v>4</v>
      </c>
      <c r="V204">
        <v>3</v>
      </c>
      <c r="W204">
        <v>3</v>
      </c>
      <c r="X204">
        <v>4</v>
      </c>
      <c r="Y204" s="2" t="s">
        <v>72</v>
      </c>
      <c r="Z204">
        <v>3</v>
      </c>
      <c r="AA204">
        <v>3</v>
      </c>
      <c r="AB204">
        <v>4</v>
      </c>
      <c r="AC204">
        <v>3</v>
      </c>
      <c r="AD204">
        <v>3</v>
      </c>
      <c r="AE204">
        <v>4</v>
      </c>
      <c r="AF204" s="10" t="s">
        <v>273</v>
      </c>
      <c r="AH204" s="8">
        <v>202</v>
      </c>
      <c r="AI204">
        <v>0</v>
      </c>
      <c r="AJ204">
        <v>0</v>
      </c>
      <c r="AK204" s="8" t="s">
        <v>317</v>
      </c>
      <c r="AL204" t="s">
        <v>318</v>
      </c>
      <c r="AM204" t="str">
        <f t="shared" si="61"/>
        <v>Honest</v>
      </c>
      <c r="AO204">
        <f t="shared" si="48"/>
        <v>2</v>
      </c>
      <c r="AP204">
        <f t="shared" si="49"/>
        <v>3</v>
      </c>
      <c r="AQ204">
        <f t="shared" si="50"/>
        <v>2</v>
      </c>
      <c r="AR204">
        <f t="shared" si="51"/>
        <v>3</v>
      </c>
      <c r="AS204">
        <f t="shared" si="62"/>
        <v>5</v>
      </c>
      <c r="AT204">
        <f t="shared" si="52"/>
        <v>3</v>
      </c>
      <c r="AU204">
        <f t="shared" si="53"/>
        <v>4</v>
      </c>
      <c r="AV204" s="19">
        <f t="shared" si="63"/>
        <v>3.1666666666666665</v>
      </c>
      <c r="AX204"/>
      <c r="AY204">
        <v>4</v>
      </c>
      <c r="AZ204">
        <v>3</v>
      </c>
      <c r="BA204">
        <v>7</v>
      </c>
      <c r="BB204">
        <v>1</v>
      </c>
      <c r="BC204">
        <v>3</v>
      </c>
      <c r="BD204">
        <v>2</v>
      </c>
      <c r="BE204">
        <f t="shared" si="54"/>
        <v>8</v>
      </c>
      <c r="BF204">
        <f t="shared" si="55"/>
        <v>0</v>
      </c>
      <c r="BG204">
        <f t="shared" si="56"/>
        <v>8</v>
      </c>
      <c r="BH204" s="8"/>
      <c r="BI204">
        <v>4</v>
      </c>
      <c r="BJ204">
        <v>3</v>
      </c>
      <c r="BK204">
        <v>7</v>
      </c>
      <c r="BL204">
        <v>1</v>
      </c>
      <c r="BM204">
        <v>3</v>
      </c>
      <c r="BN204">
        <v>2</v>
      </c>
      <c r="BO204">
        <f t="shared" si="57"/>
        <v>8</v>
      </c>
      <c r="BP204">
        <f t="shared" si="58"/>
        <v>1</v>
      </c>
      <c r="BQ204">
        <f t="shared" si="59"/>
        <v>9</v>
      </c>
      <c r="BR204">
        <f t="shared" si="60"/>
        <v>17</v>
      </c>
    </row>
    <row r="205" spans="1:70" s="4" customFormat="1" ht="30" x14ac:dyDescent="0.25">
      <c r="A205" s="2" t="s">
        <v>33</v>
      </c>
      <c r="B205">
        <v>100</v>
      </c>
      <c r="C205">
        <v>211</v>
      </c>
      <c r="D205" s="2" t="s">
        <v>62</v>
      </c>
      <c r="E205" s="1">
        <v>44609.117440451388</v>
      </c>
      <c r="F205" s="2" t="s">
        <v>63</v>
      </c>
      <c r="G205" s="2" t="s">
        <v>63</v>
      </c>
      <c r="H205" s="2" t="s">
        <v>63</v>
      </c>
      <c r="I205" s="2" t="s">
        <v>63</v>
      </c>
      <c r="J205" s="2" t="s">
        <v>64</v>
      </c>
      <c r="K205" s="2" t="s">
        <v>65</v>
      </c>
      <c r="L205" s="2" t="s">
        <v>66</v>
      </c>
      <c r="M205" s="2" t="s">
        <v>66</v>
      </c>
      <c r="N205" s="2" t="s">
        <v>66</v>
      </c>
      <c r="O205" s="2" t="s">
        <v>67</v>
      </c>
      <c r="P205" s="2" t="s">
        <v>71</v>
      </c>
      <c r="Q205" s="2" t="s">
        <v>71</v>
      </c>
      <c r="R205" s="2" t="s">
        <v>69</v>
      </c>
      <c r="S205">
        <v>2</v>
      </c>
      <c r="T205">
        <v>3</v>
      </c>
      <c r="U205">
        <v>1</v>
      </c>
      <c r="V205">
        <v>5</v>
      </c>
      <c r="W205">
        <v>4</v>
      </c>
      <c r="X205">
        <v>5</v>
      </c>
      <c r="Y205" s="2" t="s">
        <v>69</v>
      </c>
      <c r="Z205">
        <v>2</v>
      </c>
      <c r="AA205">
        <v>3</v>
      </c>
      <c r="AB205">
        <v>1</v>
      </c>
      <c r="AC205">
        <v>4</v>
      </c>
      <c r="AD205">
        <v>5</v>
      </c>
      <c r="AE205">
        <v>5</v>
      </c>
      <c r="AF205" s="10" t="s">
        <v>274</v>
      </c>
      <c r="AH205" s="8">
        <v>203</v>
      </c>
      <c r="AI205">
        <v>0</v>
      </c>
      <c r="AJ205">
        <v>16</v>
      </c>
      <c r="AK205" s="8" t="s">
        <v>317</v>
      </c>
      <c r="AL205" t="s">
        <v>320</v>
      </c>
      <c r="AM205" t="str">
        <f t="shared" si="61"/>
        <v>Lie</v>
      </c>
      <c r="AO205">
        <f t="shared" si="48"/>
        <v>1</v>
      </c>
      <c r="AP205">
        <f t="shared" si="49"/>
        <v>1</v>
      </c>
      <c r="AQ205">
        <f t="shared" si="50"/>
        <v>1</v>
      </c>
      <c r="AR205">
        <f t="shared" si="51"/>
        <v>6</v>
      </c>
      <c r="AS205">
        <f t="shared" si="62"/>
        <v>2</v>
      </c>
      <c r="AT205">
        <f t="shared" si="52"/>
        <v>2</v>
      </c>
      <c r="AU205">
        <f t="shared" si="53"/>
        <v>2</v>
      </c>
      <c r="AV205" s="19">
        <f t="shared" si="63"/>
        <v>1.5</v>
      </c>
      <c r="AX205"/>
      <c r="AY205">
        <v>3</v>
      </c>
      <c r="AZ205">
        <v>3</v>
      </c>
      <c r="BA205">
        <v>2</v>
      </c>
      <c r="BB205">
        <v>8</v>
      </c>
      <c r="BC205">
        <v>1</v>
      </c>
      <c r="BD205">
        <v>3</v>
      </c>
      <c r="BE205">
        <f t="shared" si="54"/>
        <v>10</v>
      </c>
      <c r="BF205">
        <f t="shared" si="55"/>
        <v>1</v>
      </c>
      <c r="BG205">
        <f t="shared" si="56"/>
        <v>11</v>
      </c>
      <c r="BH205" s="8"/>
      <c r="BI205">
        <v>3</v>
      </c>
      <c r="BJ205">
        <v>6</v>
      </c>
      <c r="BK205">
        <v>2</v>
      </c>
      <c r="BL205">
        <v>1</v>
      </c>
      <c r="BM205">
        <v>5</v>
      </c>
      <c r="BN205">
        <v>3</v>
      </c>
      <c r="BO205">
        <f t="shared" si="57"/>
        <v>10</v>
      </c>
      <c r="BP205">
        <f t="shared" si="58"/>
        <v>0</v>
      </c>
      <c r="BQ205">
        <f t="shared" si="59"/>
        <v>10</v>
      </c>
      <c r="BR205">
        <f t="shared" si="60"/>
        <v>21</v>
      </c>
    </row>
    <row r="206" spans="1:70" ht="30" x14ac:dyDescent="0.25">
      <c r="A206" s="2" t="s">
        <v>33</v>
      </c>
      <c r="B206">
        <v>100</v>
      </c>
      <c r="C206">
        <v>312</v>
      </c>
      <c r="D206" s="2" t="s">
        <v>62</v>
      </c>
      <c r="E206" s="1">
        <v>44609.303194687498</v>
      </c>
      <c r="F206" s="2" t="s">
        <v>63</v>
      </c>
      <c r="G206" s="2" t="s">
        <v>63</v>
      </c>
      <c r="H206" s="2" t="s">
        <v>63</v>
      </c>
      <c r="I206" s="2" t="s">
        <v>63</v>
      </c>
      <c r="J206" s="2" t="s">
        <v>64</v>
      </c>
      <c r="K206" s="2" t="s">
        <v>65</v>
      </c>
      <c r="L206" s="2" t="s">
        <v>66</v>
      </c>
      <c r="M206" s="2" t="s">
        <v>66</v>
      </c>
      <c r="N206" s="2" t="s">
        <v>66</v>
      </c>
      <c r="O206" s="2" t="s">
        <v>67</v>
      </c>
      <c r="P206" s="2" t="s">
        <v>71</v>
      </c>
      <c r="Q206" s="2" t="s">
        <v>71</v>
      </c>
      <c r="R206" s="2" t="s">
        <v>72</v>
      </c>
      <c r="S206">
        <v>2</v>
      </c>
      <c r="T206">
        <v>6</v>
      </c>
      <c r="U206">
        <v>4</v>
      </c>
      <c r="V206">
        <v>5</v>
      </c>
      <c r="W206">
        <v>1</v>
      </c>
      <c r="X206">
        <v>2</v>
      </c>
      <c r="Y206" s="2" t="s">
        <v>72</v>
      </c>
      <c r="Z206">
        <v>2</v>
      </c>
      <c r="AA206">
        <v>4</v>
      </c>
      <c r="AB206">
        <v>2</v>
      </c>
      <c r="AC206">
        <v>5</v>
      </c>
      <c r="AD206">
        <v>4</v>
      </c>
      <c r="AE206">
        <v>3</v>
      </c>
      <c r="AF206" s="10" t="s">
        <v>275</v>
      </c>
      <c r="AG206" s="4"/>
      <c r="AH206" s="8">
        <v>204</v>
      </c>
      <c r="AI206">
        <v>0</v>
      </c>
      <c r="AJ206">
        <v>0</v>
      </c>
      <c r="AK206" s="8" t="s">
        <v>315</v>
      </c>
      <c r="AL206" t="s">
        <v>316</v>
      </c>
      <c r="AM206" t="str">
        <f t="shared" si="61"/>
        <v>Honest</v>
      </c>
      <c r="AN206" s="4"/>
      <c r="AO206">
        <f t="shared" si="48"/>
        <v>1</v>
      </c>
      <c r="AP206">
        <f t="shared" si="49"/>
        <v>1</v>
      </c>
      <c r="AQ206">
        <f t="shared" si="50"/>
        <v>1</v>
      </c>
      <c r="AR206">
        <f t="shared" si="51"/>
        <v>6</v>
      </c>
      <c r="AS206">
        <f t="shared" si="62"/>
        <v>2</v>
      </c>
      <c r="AT206">
        <f t="shared" si="52"/>
        <v>2</v>
      </c>
      <c r="AU206">
        <f t="shared" si="53"/>
        <v>2</v>
      </c>
      <c r="AV206" s="19">
        <f t="shared" si="63"/>
        <v>1.5</v>
      </c>
      <c r="AW206" s="4"/>
      <c r="AY206">
        <v>2</v>
      </c>
      <c r="AZ206">
        <v>8</v>
      </c>
      <c r="BA206">
        <v>3</v>
      </c>
      <c r="BB206">
        <v>2</v>
      </c>
      <c r="BC206">
        <v>3</v>
      </c>
      <c r="BD206">
        <v>2</v>
      </c>
      <c r="BE206">
        <f t="shared" si="54"/>
        <v>8</v>
      </c>
      <c r="BF206">
        <f t="shared" si="55"/>
        <v>0</v>
      </c>
      <c r="BG206">
        <f t="shared" si="56"/>
        <v>8</v>
      </c>
      <c r="BI206">
        <v>2</v>
      </c>
      <c r="BJ206">
        <v>8</v>
      </c>
      <c r="BK206">
        <v>3</v>
      </c>
      <c r="BL206">
        <v>2</v>
      </c>
      <c r="BM206">
        <v>3</v>
      </c>
      <c r="BN206">
        <v>2</v>
      </c>
      <c r="BO206">
        <f t="shared" si="57"/>
        <v>10</v>
      </c>
      <c r="BP206">
        <f t="shared" si="58"/>
        <v>1</v>
      </c>
      <c r="BQ206">
        <f t="shared" si="59"/>
        <v>11</v>
      </c>
      <c r="BR206">
        <f t="shared" si="60"/>
        <v>19</v>
      </c>
    </row>
    <row r="207" spans="1:70" ht="45" x14ac:dyDescent="0.25">
      <c r="A207" s="2" t="s">
        <v>33</v>
      </c>
      <c r="B207">
        <v>100</v>
      </c>
      <c r="C207">
        <v>405</v>
      </c>
      <c r="D207" s="2" t="s">
        <v>62</v>
      </c>
      <c r="E207" s="1">
        <v>44609.422033425923</v>
      </c>
      <c r="F207" s="2" t="s">
        <v>63</v>
      </c>
      <c r="G207" s="2" t="s">
        <v>63</v>
      </c>
      <c r="H207" s="2" t="s">
        <v>63</v>
      </c>
      <c r="I207" s="2" t="s">
        <v>63</v>
      </c>
      <c r="J207" s="2" t="s">
        <v>64</v>
      </c>
      <c r="K207" s="2" t="s">
        <v>65</v>
      </c>
      <c r="L207" s="2" t="s">
        <v>71</v>
      </c>
      <c r="M207" s="2" t="s">
        <v>71</v>
      </c>
      <c r="N207" s="2" t="s">
        <v>71</v>
      </c>
      <c r="O207" s="2" t="s">
        <v>81</v>
      </c>
      <c r="P207" s="2" t="s">
        <v>71</v>
      </c>
      <c r="Q207" s="2" t="s">
        <v>71</v>
      </c>
      <c r="R207" s="2" t="s">
        <v>69</v>
      </c>
      <c r="S207">
        <v>2</v>
      </c>
      <c r="T207">
        <v>4</v>
      </c>
      <c r="U207">
        <v>3</v>
      </c>
      <c r="V207">
        <v>4</v>
      </c>
      <c r="W207">
        <v>5</v>
      </c>
      <c r="X207">
        <v>2</v>
      </c>
      <c r="Y207" s="2" t="s">
        <v>69</v>
      </c>
      <c r="Z207">
        <v>3</v>
      </c>
      <c r="AA207">
        <v>2</v>
      </c>
      <c r="AB207">
        <v>5</v>
      </c>
      <c r="AC207">
        <v>3</v>
      </c>
      <c r="AD207">
        <v>4</v>
      </c>
      <c r="AE207">
        <v>3</v>
      </c>
      <c r="AF207" s="10" t="s">
        <v>276</v>
      </c>
      <c r="AG207" s="4"/>
      <c r="AH207" s="8">
        <v>205</v>
      </c>
      <c r="AI207">
        <v>5</v>
      </c>
      <c r="AJ207">
        <v>0</v>
      </c>
      <c r="AK207" s="8" t="s">
        <v>315</v>
      </c>
      <c r="AL207" t="s">
        <v>316</v>
      </c>
      <c r="AM207" t="str">
        <f t="shared" si="61"/>
        <v>Honest</v>
      </c>
      <c r="AN207" s="4"/>
      <c r="AO207">
        <f t="shared" si="48"/>
        <v>2</v>
      </c>
      <c r="AP207">
        <f t="shared" si="49"/>
        <v>2</v>
      </c>
      <c r="AQ207">
        <f t="shared" si="50"/>
        <v>2</v>
      </c>
      <c r="AR207">
        <f t="shared" si="51"/>
        <v>5</v>
      </c>
      <c r="AS207">
        <f t="shared" si="62"/>
        <v>3</v>
      </c>
      <c r="AT207">
        <f t="shared" si="52"/>
        <v>2</v>
      </c>
      <c r="AU207">
        <f t="shared" si="53"/>
        <v>2</v>
      </c>
      <c r="AV207" s="19">
        <f t="shared" si="63"/>
        <v>2.1666666666666665</v>
      </c>
      <c r="AW207" s="4"/>
      <c r="AY207">
        <v>2</v>
      </c>
      <c r="AZ207">
        <v>2</v>
      </c>
      <c r="BA207">
        <v>2</v>
      </c>
      <c r="BB207">
        <v>4</v>
      </c>
      <c r="BC207">
        <v>5</v>
      </c>
      <c r="BD207">
        <v>4</v>
      </c>
      <c r="BE207">
        <f t="shared" si="54"/>
        <v>5</v>
      </c>
      <c r="BF207">
        <f t="shared" si="55"/>
        <v>1</v>
      </c>
      <c r="BG207">
        <f t="shared" si="56"/>
        <v>6</v>
      </c>
      <c r="BI207">
        <v>3</v>
      </c>
      <c r="BJ207">
        <v>2</v>
      </c>
      <c r="BK207">
        <v>2</v>
      </c>
      <c r="BL207">
        <v>3</v>
      </c>
      <c r="BM207">
        <v>4</v>
      </c>
      <c r="BN207">
        <v>6</v>
      </c>
      <c r="BO207">
        <f t="shared" si="57"/>
        <v>6</v>
      </c>
      <c r="BP207">
        <f t="shared" si="58"/>
        <v>0</v>
      </c>
      <c r="BQ207">
        <f t="shared" si="59"/>
        <v>6</v>
      </c>
      <c r="BR207">
        <f t="shared" si="60"/>
        <v>12</v>
      </c>
    </row>
    <row r="208" spans="1:70" ht="30" x14ac:dyDescent="0.25">
      <c r="A208" s="2" t="s">
        <v>33</v>
      </c>
      <c r="B208">
        <v>100</v>
      </c>
      <c r="C208">
        <v>266</v>
      </c>
      <c r="D208" s="2" t="s">
        <v>62</v>
      </c>
      <c r="E208" s="1">
        <v>44609.495659155094</v>
      </c>
      <c r="F208" s="2" t="s">
        <v>63</v>
      </c>
      <c r="G208" s="2" t="s">
        <v>63</v>
      </c>
      <c r="H208" s="2" t="s">
        <v>63</v>
      </c>
      <c r="I208" s="2" t="s">
        <v>63</v>
      </c>
      <c r="J208" s="2" t="s">
        <v>64</v>
      </c>
      <c r="K208" s="2" t="s">
        <v>65</v>
      </c>
      <c r="L208" s="2" t="s">
        <v>66</v>
      </c>
      <c r="M208" s="2" t="s">
        <v>66</v>
      </c>
      <c r="N208" s="2" t="s">
        <v>66</v>
      </c>
      <c r="O208" s="2" t="s">
        <v>67</v>
      </c>
      <c r="P208" s="2" t="s">
        <v>71</v>
      </c>
      <c r="Q208" s="2" t="s">
        <v>74</v>
      </c>
      <c r="R208" s="2" t="s">
        <v>72</v>
      </c>
      <c r="S208">
        <v>3</v>
      </c>
      <c r="T208">
        <v>4</v>
      </c>
      <c r="U208">
        <v>2</v>
      </c>
      <c r="V208">
        <v>4</v>
      </c>
      <c r="W208">
        <v>5</v>
      </c>
      <c r="X208">
        <v>2</v>
      </c>
      <c r="Y208" s="2" t="s">
        <v>72</v>
      </c>
      <c r="Z208">
        <v>3</v>
      </c>
      <c r="AA208">
        <v>4</v>
      </c>
      <c r="AB208">
        <v>2</v>
      </c>
      <c r="AC208">
        <v>5</v>
      </c>
      <c r="AD208">
        <v>3</v>
      </c>
      <c r="AE208">
        <v>3</v>
      </c>
      <c r="AF208" s="10" t="s">
        <v>277</v>
      </c>
      <c r="AG208" s="4"/>
      <c r="AH208" s="8">
        <v>206</v>
      </c>
      <c r="AI208">
        <v>0</v>
      </c>
      <c r="AJ208">
        <v>0</v>
      </c>
      <c r="AK208" s="8" t="s">
        <v>315</v>
      </c>
      <c r="AL208" t="s">
        <v>316</v>
      </c>
      <c r="AM208" t="str">
        <f t="shared" si="61"/>
        <v>Honest</v>
      </c>
      <c r="AN208" s="4"/>
      <c r="AO208">
        <f t="shared" si="48"/>
        <v>1</v>
      </c>
      <c r="AP208">
        <f t="shared" si="49"/>
        <v>1</v>
      </c>
      <c r="AQ208">
        <f t="shared" si="50"/>
        <v>1</v>
      </c>
      <c r="AR208">
        <f t="shared" si="51"/>
        <v>6</v>
      </c>
      <c r="AS208">
        <f t="shared" si="62"/>
        <v>2</v>
      </c>
      <c r="AT208">
        <f t="shared" si="52"/>
        <v>2</v>
      </c>
      <c r="AU208">
        <f t="shared" si="53"/>
        <v>3</v>
      </c>
      <c r="AV208" s="19">
        <f t="shared" si="63"/>
        <v>1.6666666666666667</v>
      </c>
      <c r="AW208" s="4"/>
      <c r="AY208">
        <v>1</v>
      </c>
      <c r="AZ208">
        <v>3</v>
      </c>
      <c r="BA208">
        <v>2</v>
      </c>
      <c r="BB208">
        <v>6</v>
      </c>
      <c r="BC208">
        <v>7</v>
      </c>
      <c r="BD208">
        <v>1</v>
      </c>
      <c r="BE208">
        <f t="shared" si="54"/>
        <v>8</v>
      </c>
      <c r="BF208">
        <f t="shared" si="55"/>
        <v>0</v>
      </c>
      <c r="BG208">
        <f t="shared" si="56"/>
        <v>8</v>
      </c>
      <c r="BI208">
        <v>1</v>
      </c>
      <c r="BJ208">
        <v>3</v>
      </c>
      <c r="BK208">
        <v>2</v>
      </c>
      <c r="BL208">
        <v>6</v>
      </c>
      <c r="BM208">
        <v>7</v>
      </c>
      <c r="BN208">
        <v>1</v>
      </c>
      <c r="BO208">
        <f t="shared" si="57"/>
        <v>10</v>
      </c>
      <c r="BP208">
        <f t="shared" si="58"/>
        <v>1</v>
      </c>
      <c r="BQ208">
        <f t="shared" si="59"/>
        <v>11</v>
      </c>
      <c r="BR208">
        <f t="shared" si="60"/>
        <v>19</v>
      </c>
    </row>
    <row r="209" spans="1:70" ht="30" x14ac:dyDescent="0.25">
      <c r="A209" s="2" t="s">
        <v>33</v>
      </c>
      <c r="B209">
        <v>100</v>
      </c>
      <c r="C209">
        <v>371</v>
      </c>
      <c r="D209" s="2" t="s">
        <v>62</v>
      </c>
      <c r="E209" s="1">
        <v>44610.12876983796</v>
      </c>
      <c r="F209" s="2" t="s">
        <v>63</v>
      </c>
      <c r="G209" s="2" t="s">
        <v>63</v>
      </c>
      <c r="H209" s="2" t="s">
        <v>63</v>
      </c>
      <c r="I209" s="2" t="s">
        <v>63</v>
      </c>
      <c r="J209" s="2" t="s">
        <v>64</v>
      </c>
      <c r="K209" s="2" t="s">
        <v>65</v>
      </c>
      <c r="L209" s="2" t="s">
        <v>74</v>
      </c>
      <c r="M209" s="2" t="s">
        <v>74</v>
      </c>
      <c r="N209" s="2" t="s">
        <v>71</v>
      </c>
      <c r="O209" s="2" t="s">
        <v>67</v>
      </c>
      <c r="P209" s="2" t="s">
        <v>67</v>
      </c>
      <c r="Q209" s="2" t="s">
        <v>74</v>
      </c>
      <c r="R209" s="2" t="s">
        <v>72</v>
      </c>
      <c r="S209">
        <v>1</v>
      </c>
      <c r="T209">
        <v>5</v>
      </c>
      <c r="U209">
        <v>3</v>
      </c>
      <c r="V209">
        <v>4</v>
      </c>
      <c r="W209">
        <v>4</v>
      </c>
      <c r="X209">
        <v>3</v>
      </c>
      <c r="Y209" s="2" t="s">
        <v>72</v>
      </c>
      <c r="Z209">
        <v>1</v>
      </c>
      <c r="AA209">
        <v>3</v>
      </c>
      <c r="AB209">
        <v>4</v>
      </c>
      <c r="AC209">
        <v>5</v>
      </c>
      <c r="AD209">
        <v>3</v>
      </c>
      <c r="AE209">
        <v>4</v>
      </c>
      <c r="AF209" s="10" t="s">
        <v>278</v>
      </c>
      <c r="AG209" s="4"/>
      <c r="AH209" s="8">
        <v>207</v>
      </c>
      <c r="AI209">
        <v>1</v>
      </c>
      <c r="AJ209">
        <v>0</v>
      </c>
      <c r="AK209" s="8" t="s">
        <v>317</v>
      </c>
      <c r="AL209" t="s">
        <v>318</v>
      </c>
      <c r="AM209" t="str">
        <f t="shared" si="61"/>
        <v>Honest</v>
      </c>
      <c r="AN209" s="4"/>
      <c r="AO209">
        <f t="shared" si="48"/>
        <v>3</v>
      </c>
      <c r="AP209">
        <f t="shared" si="49"/>
        <v>3</v>
      </c>
      <c r="AQ209">
        <f t="shared" si="50"/>
        <v>2</v>
      </c>
      <c r="AR209">
        <f t="shared" si="51"/>
        <v>6</v>
      </c>
      <c r="AS209">
        <f t="shared" si="62"/>
        <v>2</v>
      </c>
      <c r="AT209">
        <f t="shared" si="52"/>
        <v>6</v>
      </c>
      <c r="AU209">
        <f t="shared" si="53"/>
        <v>3</v>
      </c>
      <c r="AV209" s="19">
        <f t="shared" si="63"/>
        <v>3.1666666666666665</v>
      </c>
      <c r="AW209" s="4"/>
      <c r="AY209">
        <v>3</v>
      </c>
      <c r="AZ209">
        <v>2</v>
      </c>
      <c r="BA209">
        <v>7</v>
      </c>
      <c r="BB209">
        <v>3</v>
      </c>
      <c r="BC209">
        <v>0</v>
      </c>
      <c r="BD209">
        <v>5</v>
      </c>
      <c r="BE209">
        <f t="shared" si="54"/>
        <v>16</v>
      </c>
      <c r="BF209">
        <f t="shared" si="55"/>
        <v>0</v>
      </c>
      <c r="BG209">
        <f t="shared" si="56"/>
        <v>16</v>
      </c>
      <c r="BI209">
        <v>3</v>
      </c>
      <c r="BJ209">
        <v>2</v>
      </c>
      <c r="BK209">
        <v>7</v>
      </c>
      <c r="BL209">
        <v>3</v>
      </c>
      <c r="BM209">
        <v>0</v>
      </c>
      <c r="BN209">
        <v>5</v>
      </c>
      <c r="BO209">
        <f t="shared" si="57"/>
        <v>12</v>
      </c>
      <c r="BP209">
        <f t="shared" si="58"/>
        <v>1</v>
      </c>
      <c r="BQ209">
        <f t="shared" si="59"/>
        <v>13</v>
      </c>
      <c r="BR209">
        <f t="shared" si="60"/>
        <v>29</v>
      </c>
    </row>
    <row r="210" spans="1:70" ht="60" x14ac:dyDescent="0.25">
      <c r="A210" s="2" t="s">
        <v>33</v>
      </c>
      <c r="B210">
        <v>100</v>
      </c>
      <c r="C210">
        <v>595</v>
      </c>
      <c r="D210" s="2" t="s">
        <v>62</v>
      </c>
      <c r="E210" s="1">
        <v>44610.559750057873</v>
      </c>
      <c r="F210" s="2" t="s">
        <v>63</v>
      </c>
      <c r="G210" s="2" t="s">
        <v>63</v>
      </c>
      <c r="H210" s="2" t="s">
        <v>63</v>
      </c>
      <c r="I210" s="2" t="s">
        <v>63</v>
      </c>
      <c r="J210" s="2" t="s">
        <v>64</v>
      </c>
      <c r="K210" s="2" t="s">
        <v>65</v>
      </c>
      <c r="L210" s="2" t="s">
        <v>74</v>
      </c>
      <c r="M210" s="2" t="s">
        <v>71</v>
      </c>
      <c r="N210" s="2" t="s">
        <v>71</v>
      </c>
      <c r="O210" s="2" t="s">
        <v>75</v>
      </c>
      <c r="P210" s="2" t="s">
        <v>75</v>
      </c>
      <c r="Q210" s="2" t="s">
        <v>74</v>
      </c>
      <c r="R210" s="2" t="s">
        <v>72</v>
      </c>
      <c r="S210">
        <v>1</v>
      </c>
      <c r="T210">
        <v>7</v>
      </c>
      <c r="U210">
        <v>3</v>
      </c>
      <c r="V210">
        <v>4</v>
      </c>
      <c r="W210">
        <v>3</v>
      </c>
      <c r="X210">
        <v>2</v>
      </c>
      <c r="Y210" s="2" t="s">
        <v>72</v>
      </c>
      <c r="Z210">
        <v>1</v>
      </c>
      <c r="AA210">
        <v>7</v>
      </c>
      <c r="AB210">
        <v>3</v>
      </c>
      <c r="AC210">
        <v>4</v>
      </c>
      <c r="AD210">
        <v>3</v>
      </c>
      <c r="AE210">
        <v>2</v>
      </c>
      <c r="AF210" s="10" t="s">
        <v>279</v>
      </c>
      <c r="AG210" s="4"/>
      <c r="AH210" s="8">
        <v>208</v>
      </c>
      <c r="AI210">
        <v>0</v>
      </c>
      <c r="AJ210">
        <v>16</v>
      </c>
      <c r="AK210" s="8" t="s">
        <v>315</v>
      </c>
      <c r="AL210" t="s">
        <v>319</v>
      </c>
      <c r="AM210" t="str">
        <f t="shared" si="61"/>
        <v>Lie</v>
      </c>
      <c r="AN210" s="4"/>
      <c r="AO210">
        <f t="shared" si="48"/>
        <v>3</v>
      </c>
      <c r="AP210">
        <f t="shared" si="49"/>
        <v>2</v>
      </c>
      <c r="AQ210">
        <f t="shared" si="50"/>
        <v>2</v>
      </c>
      <c r="AR210">
        <f t="shared" si="51"/>
        <v>4</v>
      </c>
      <c r="AS210">
        <f t="shared" si="62"/>
        <v>4</v>
      </c>
      <c r="AT210">
        <f t="shared" si="52"/>
        <v>4</v>
      </c>
      <c r="AU210">
        <f t="shared" si="53"/>
        <v>3</v>
      </c>
      <c r="AV210" s="19">
        <f t="shared" si="63"/>
        <v>3</v>
      </c>
      <c r="AW210" s="4"/>
      <c r="AY210">
        <v>2</v>
      </c>
      <c r="AZ210">
        <v>6</v>
      </c>
      <c r="BA210">
        <v>3</v>
      </c>
      <c r="BB210">
        <v>4</v>
      </c>
      <c r="BC210">
        <v>2</v>
      </c>
      <c r="BD210">
        <v>3</v>
      </c>
      <c r="BE210">
        <f t="shared" si="54"/>
        <v>4</v>
      </c>
      <c r="BF210">
        <f t="shared" si="55"/>
        <v>0</v>
      </c>
      <c r="BG210">
        <f t="shared" si="56"/>
        <v>4</v>
      </c>
      <c r="BI210">
        <v>4</v>
      </c>
      <c r="BJ210">
        <v>6</v>
      </c>
      <c r="BK210">
        <v>1</v>
      </c>
      <c r="BL210">
        <v>2</v>
      </c>
      <c r="BM210">
        <v>4</v>
      </c>
      <c r="BN210">
        <v>3</v>
      </c>
      <c r="BO210">
        <f t="shared" si="57"/>
        <v>10</v>
      </c>
      <c r="BP210">
        <f t="shared" si="58"/>
        <v>1</v>
      </c>
      <c r="BQ210">
        <f t="shared" si="59"/>
        <v>11</v>
      </c>
      <c r="BR210">
        <f t="shared" si="60"/>
        <v>15</v>
      </c>
    </row>
    <row r="211" spans="1:70" ht="30" x14ac:dyDescent="0.25">
      <c r="A211" s="2" t="s">
        <v>33</v>
      </c>
      <c r="B211">
        <v>100</v>
      </c>
      <c r="C211">
        <v>211</v>
      </c>
      <c r="D211" s="2" t="s">
        <v>62</v>
      </c>
      <c r="E211" s="1">
        <v>44610.683138564818</v>
      </c>
      <c r="F211" s="2" t="s">
        <v>63</v>
      </c>
      <c r="G211" s="2" t="s">
        <v>63</v>
      </c>
      <c r="H211" s="2" t="s">
        <v>63</v>
      </c>
      <c r="I211" s="2" t="s">
        <v>63</v>
      </c>
      <c r="J211" s="2" t="s">
        <v>64</v>
      </c>
      <c r="K211" s="2" t="s">
        <v>65</v>
      </c>
      <c r="L211" s="2" t="s">
        <v>71</v>
      </c>
      <c r="M211" s="2" t="s">
        <v>74</v>
      </c>
      <c r="N211" s="2" t="s">
        <v>71</v>
      </c>
      <c r="O211" s="2" t="s">
        <v>67</v>
      </c>
      <c r="P211" s="2" t="s">
        <v>74</v>
      </c>
      <c r="Q211" s="2" t="s">
        <v>74</v>
      </c>
      <c r="R211" s="2" t="s">
        <v>72</v>
      </c>
      <c r="S211">
        <v>1</v>
      </c>
      <c r="T211">
        <v>7</v>
      </c>
      <c r="U211">
        <v>5</v>
      </c>
      <c r="V211">
        <v>5</v>
      </c>
      <c r="W211">
        <v>1</v>
      </c>
      <c r="X211">
        <v>1</v>
      </c>
      <c r="Y211" s="2" t="s">
        <v>72</v>
      </c>
      <c r="Z211">
        <v>1</v>
      </c>
      <c r="AA211">
        <v>7</v>
      </c>
      <c r="AB211">
        <v>5</v>
      </c>
      <c r="AC211">
        <v>5</v>
      </c>
      <c r="AD211">
        <v>2</v>
      </c>
      <c r="AE211">
        <v>0</v>
      </c>
      <c r="AF211" s="10" t="s">
        <v>280</v>
      </c>
      <c r="AG211" s="4"/>
      <c r="AH211" s="8">
        <v>209</v>
      </c>
      <c r="AI211">
        <v>2</v>
      </c>
      <c r="AJ211">
        <v>0</v>
      </c>
      <c r="AK211" s="8" t="s">
        <v>315</v>
      </c>
      <c r="AL211" t="s">
        <v>316</v>
      </c>
      <c r="AM211" t="str">
        <f t="shared" si="61"/>
        <v>Honest</v>
      </c>
      <c r="AN211" s="4"/>
      <c r="AO211">
        <f t="shared" si="48"/>
        <v>2</v>
      </c>
      <c r="AP211">
        <f t="shared" si="49"/>
        <v>3</v>
      </c>
      <c r="AQ211">
        <f t="shared" si="50"/>
        <v>2</v>
      </c>
      <c r="AR211">
        <f t="shared" si="51"/>
        <v>6</v>
      </c>
      <c r="AS211">
        <f t="shared" si="62"/>
        <v>2</v>
      </c>
      <c r="AT211">
        <f t="shared" si="52"/>
        <v>3</v>
      </c>
      <c r="AU211">
        <f t="shared" si="53"/>
        <v>3</v>
      </c>
      <c r="AV211" s="19">
        <f t="shared" si="63"/>
        <v>2.5</v>
      </c>
      <c r="AW211" s="4"/>
      <c r="AY211">
        <v>2</v>
      </c>
      <c r="AZ211">
        <v>2</v>
      </c>
      <c r="BA211">
        <v>4</v>
      </c>
      <c r="BB211">
        <v>8</v>
      </c>
      <c r="BC211">
        <v>2</v>
      </c>
      <c r="BD211">
        <v>2</v>
      </c>
      <c r="BE211">
        <f t="shared" si="54"/>
        <v>12</v>
      </c>
      <c r="BF211">
        <f t="shared" si="55"/>
        <v>0</v>
      </c>
      <c r="BG211">
        <f t="shared" si="56"/>
        <v>12</v>
      </c>
      <c r="BI211">
        <v>2</v>
      </c>
      <c r="BJ211">
        <v>2</v>
      </c>
      <c r="BK211">
        <v>4</v>
      </c>
      <c r="BL211">
        <v>8</v>
      </c>
      <c r="BM211">
        <v>2</v>
      </c>
      <c r="BN211">
        <v>2</v>
      </c>
      <c r="BO211">
        <f t="shared" si="57"/>
        <v>12</v>
      </c>
      <c r="BP211">
        <f t="shared" si="58"/>
        <v>1</v>
      </c>
      <c r="BQ211">
        <f t="shared" si="59"/>
        <v>13</v>
      </c>
      <c r="BR211">
        <f t="shared" si="60"/>
        <v>25</v>
      </c>
    </row>
    <row r="212" spans="1:70" ht="45" x14ac:dyDescent="0.25">
      <c r="A212" s="2" t="s">
        <v>33</v>
      </c>
      <c r="B212">
        <v>100</v>
      </c>
      <c r="C212">
        <v>434</v>
      </c>
      <c r="D212" s="2" t="s">
        <v>62</v>
      </c>
      <c r="E212" s="1">
        <v>44611.204264409724</v>
      </c>
      <c r="F212" s="2" t="s">
        <v>63</v>
      </c>
      <c r="G212" s="2" t="s">
        <v>63</v>
      </c>
      <c r="H212" s="2" t="s">
        <v>63</v>
      </c>
      <c r="I212" s="2" t="s">
        <v>63</v>
      </c>
      <c r="J212" s="2" t="s">
        <v>64</v>
      </c>
      <c r="K212" s="2" t="s">
        <v>65</v>
      </c>
      <c r="L212" s="2" t="s">
        <v>74</v>
      </c>
      <c r="M212" s="2" t="s">
        <v>74</v>
      </c>
      <c r="N212" s="2" t="s">
        <v>74</v>
      </c>
      <c r="O212" s="2" t="s">
        <v>81</v>
      </c>
      <c r="P212" s="2" t="s">
        <v>74</v>
      </c>
      <c r="Q212" s="2" t="s">
        <v>74</v>
      </c>
      <c r="R212" s="2" t="s">
        <v>69</v>
      </c>
      <c r="S212">
        <v>4</v>
      </c>
      <c r="T212">
        <v>5</v>
      </c>
      <c r="U212">
        <v>3</v>
      </c>
      <c r="V212">
        <v>4</v>
      </c>
      <c r="W212">
        <v>1</v>
      </c>
      <c r="X212">
        <v>3</v>
      </c>
      <c r="Y212" s="2" t="s">
        <v>114</v>
      </c>
      <c r="Z212">
        <v>4</v>
      </c>
      <c r="AA212">
        <v>5</v>
      </c>
      <c r="AB212">
        <v>2</v>
      </c>
      <c r="AC212">
        <v>5</v>
      </c>
      <c r="AD212">
        <v>1</v>
      </c>
      <c r="AE212">
        <v>3</v>
      </c>
      <c r="AF212" s="10" t="s">
        <v>281</v>
      </c>
      <c r="AG212" s="4"/>
      <c r="AH212" s="8">
        <v>210</v>
      </c>
      <c r="AI212">
        <v>0</v>
      </c>
      <c r="AJ212">
        <v>0</v>
      </c>
      <c r="AK212" s="8" t="s">
        <v>315</v>
      </c>
      <c r="AL212" t="s">
        <v>316</v>
      </c>
      <c r="AM212" t="str">
        <f t="shared" si="61"/>
        <v>Honest</v>
      </c>
      <c r="AN212" s="4"/>
      <c r="AO212">
        <f t="shared" si="48"/>
        <v>3</v>
      </c>
      <c r="AP212">
        <f t="shared" si="49"/>
        <v>3</v>
      </c>
      <c r="AQ212">
        <f t="shared" si="50"/>
        <v>3</v>
      </c>
      <c r="AR212">
        <f t="shared" si="51"/>
        <v>5</v>
      </c>
      <c r="AS212">
        <f t="shared" si="62"/>
        <v>3</v>
      </c>
      <c r="AT212">
        <f t="shared" si="52"/>
        <v>3</v>
      </c>
      <c r="AU212">
        <f t="shared" si="53"/>
        <v>3</v>
      </c>
      <c r="AV212" s="19">
        <f t="shared" si="63"/>
        <v>3</v>
      </c>
      <c r="AW212" s="4"/>
      <c r="AY212">
        <v>5</v>
      </c>
      <c r="AZ212">
        <v>3</v>
      </c>
      <c r="BA212">
        <v>2</v>
      </c>
      <c r="BB212">
        <v>4</v>
      </c>
      <c r="BC212">
        <v>5</v>
      </c>
      <c r="BD212">
        <v>1</v>
      </c>
      <c r="BE212">
        <f t="shared" si="54"/>
        <v>10</v>
      </c>
      <c r="BF212">
        <f t="shared" si="55"/>
        <v>1</v>
      </c>
      <c r="BG212">
        <f t="shared" si="56"/>
        <v>11</v>
      </c>
      <c r="BI212">
        <v>5</v>
      </c>
      <c r="BJ212">
        <v>3</v>
      </c>
      <c r="BK212">
        <v>2</v>
      </c>
      <c r="BL212">
        <v>4</v>
      </c>
      <c r="BM212">
        <v>5</v>
      </c>
      <c r="BN212">
        <v>1</v>
      </c>
      <c r="BO212">
        <f t="shared" si="57"/>
        <v>10</v>
      </c>
      <c r="BP212">
        <f t="shared" si="58"/>
        <v>1</v>
      </c>
      <c r="BQ212">
        <f t="shared" si="59"/>
        <v>11</v>
      </c>
      <c r="BR212">
        <f t="shared" si="60"/>
        <v>22</v>
      </c>
    </row>
    <row r="213" spans="1:70" ht="30" x14ac:dyDescent="0.25">
      <c r="A213" s="2" t="s">
        <v>33</v>
      </c>
      <c r="B213">
        <v>100</v>
      </c>
      <c r="C213">
        <v>291</v>
      </c>
      <c r="D213" s="2" t="s">
        <v>62</v>
      </c>
      <c r="E213" s="1">
        <v>44611.267453182867</v>
      </c>
      <c r="F213" s="2" t="s">
        <v>63</v>
      </c>
      <c r="G213" s="2" t="s">
        <v>63</v>
      </c>
      <c r="H213" s="2" t="s">
        <v>63</v>
      </c>
      <c r="I213" s="2" t="s">
        <v>63</v>
      </c>
      <c r="J213" s="2" t="s">
        <v>64</v>
      </c>
      <c r="K213" s="2" t="s">
        <v>65</v>
      </c>
      <c r="L213" s="2" t="s">
        <v>66</v>
      </c>
      <c r="M213" s="2" t="s">
        <v>71</v>
      </c>
      <c r="N213" s="2" t="s">
        <v>66</v>
      </c>
      <c r="O213" s="2" t="s">
        <v>67</v>
      </c>
      <c r="P213" s="2" t="s">
        <v>74</v>
      </c>
      <c r="Q213" s="2" t="s">
        <v>71</v>
      </c>
      <c r="R213" s="2" t="s">
        <v>72</v>
      </c>
      <c r="S213">
        <v>2</v>
      </c>
      <c r="T213">
        <v>6</v>
      </c>
      <c r="U213">
        <v>2</v>
      </c>
      <c r="V213">
        <v>4</v>
      </c>
      <c r="W213">
        <v>3</v>
      </c>
      <c r="X213">
        <v>3</v>
      </c>
      <c r="Y213" s="2" t="s">
        <v>69</v>
      </c>
      <c r="Z213">
        <v>2</v>
      </c>
      <c r="AA213">
        <v>6</v>
      </c>
      <c r="AB213">
        <v>2</v>
      </c>
      <c r="AC213">
        <v>4</v>
      </c>
      <c r="AD213">
        <v>3</v>
      </c>
      <c r="AE213">
        <v>3</v>
      </c>
      <c r="AF213" s="10" t="s">
        <v>282</v>
      </c>
      <c r="AG213" s="4"/>
      <c r="AH213" s="8">
        <v>211</v>
      </c>
      <c r="AI213">
        <v>0</v>
      </c>
      <c r="AJ213">
        <v>0</v>
      </c>
      <c r="AK213" s="8" t="s">
        <v>317</v>
      </c>
      <c r="AL213" t="s">
        <v>318</v>
      </c>
      <c r="AM213" t="str">
        <f t="shared" si="61"/>
        <v>Honest</v>
      </c>
      <c r="AN213" s="4"/>
      <c r="AO213">
        <f t="shared" si="48"/>
        <v>1</v>
      </c>
      <c r="AP213">
        <f t="shared" si="49"/>
        <v>2</v>
      </c>
      <c r="AQ213">
        <f t="shared" si="50"/>
        <v>1</v>
      </c>
      <c r="AR213">
        <f t="shared" si="51"/>
        <v>6</v>
      </c>
      <c r="AS213">
        <f t="shared" si="62"/>
        <v>2</v>
      </c>
      <c r="AT213">
        <f t="shared" si="52"/>
        <v>3</v>
      </c>
      <c r="AU213">
        <f t="shared" si="53"/>
        <v>2</v>
      </c>
      <c r="AV213" s="19">
        <f t="shared" si="63"/>
        <v>1.8333333333333333</v>
      </c>
      <c r="AW213" s="4"/>
      <c r="AY213">
        <v>4</v>
      </c>
      <c r="AZ213">
        <v>3</v>
      </c>
      <c r="BA213">
        <v>4</v>
      </c>
      <c r="BB213">
        <v>3</v>
      </c>
      <c r="BC213">
        <v>3</v>
      </c>
      <c r="BD213">
        <v>3</v>
      </c>
      <c r="BE213">
        <f t="shared" si="54"/>
        <v>8</v>
      </c>
      <c r="BF213">
        <f t="shared" si="55"/>
        <v>0</v>
      </c>
      <c r="BG213">
        <f t="shared" si="56"/>
        <v>8</v>
      </c>
      <c r="BI213">
        <v>4</v>
      </c>
      <c r="BJ213">
        <v>3</v>
      </c>
      <c r="BK213">
        <v>4</v>
      </c>
      <c r="BL213">
        <v>3</v>
      </c>
      <c r="BM213">
        <v>3</v>
      </c>
      <c r="BN213">
        <v>3</v>
      </c>
      <c r="BO213">
        <f t="shared" si="57"/>
        <v>8</v>
      </c>
      <c r="BP213">
        <f t="shared" si="58"/>
        <v>0</v>
      </c>
      <c r="BQ213">
        <f t="shared" si="59"/>
        <v>8</v>
      </c>
      <c r="BR213">
        <f t="shared" si="60"/>
        <v>16</v>
      </c>
    </row>
    <row r="214" spans="1:70" ht="30" x14ac:dyDescent="0.25">
      <c r="A214" s="2" t="s">
        <v>33</v>
      </c>
      <c r="B214">
        <v>100</v>
      </c>
      <c r="C214">
        <v>293</v>
      </c>
      <c r="D214" s="2" t="s">
        <v>62</v>
      </c>
      <c r="E214" s="1">
        <v>44611.297163124997</v>
      </c>
      <c r="F214" s="2" t="s">
        <v>63</v>
      </c>
      <c r="G214" s="2" t="s">
        <v>63</v>
      </c>
      <c r="H214" s="2" t="s">
        <v>63</v>
      </c>
      <c r="I214" s="2" t="s">
        <v>63</v>
      </c>
      <c r="J214" s="2" t="s">
        <v>64</v>
      </c>
      <c r="K214" s="2" t="s">
        <v>65</v>
      </c>
      <c r="L214" s="2" t="s">
        <v>66</v>
      </c>
      <c r="M214" s="2" t="s">
        <v>66</v>
      </c>
      <c r="N214" s="2" t="s">
        <v>66</v>
      </c>
      <c r="O214" s="2" t="s">
        <v>67</v>
      </c>
      <c r="P214" s="2" t="s">
        <v>66</v>
      </c>
      <c r="Q214" s="2" t="s">
        <v>66</v>
      </c>
      <c r="R214" s="2" t="s">
        <v>69</v>
      </c>
      <c r="S214">
        <v>4</v>
      </c>
      <c r="T214">
        <v>2</v>
      </c>
      <c r="U214">
        <v>3</v>
      </c>
      <c r="V214">
        <v>4</v>
      </c>
      <c r="W214">
        <v>3</v>
      </c>
      <c r="X214">
        <v>4</v>
      </c>
      <c r="Y214" s="2" t="s">
        <v>68</v>
      </c>
      <c r="Z214">
        <v>4</v>
      </c>
      <c r="AA214">
        <v>3</v>
      </c>
      <c r="AB214">
        <v>3</v>
      </c>
      <c r="AC214">
        <v>3</v>
      </c>
      <c r="AD214">
        <v>3</v>
      </c>
      <c r="AE214">
        <v>4</v>
      </c>
      <c r="AF214" s="10" t="s">
        <v>283</v>
      </c>
      <c r="AG214" s="4"/>
      <c r="AH214" s="8">
        <v>212</v>
      </c>
      <c r="AI214">
        <v>0</v>
      </c>
      <c r="AJ214">
        <v>16</v>
      </c>
      <c r="AK214" s="8" t="s">
        <v>317</v>
      </c>
      <c r="AL214" t="s">
        <v>320</v>
      </c>
      <c r="AM214" t="str">
        <f t="shared" si="61"/>
        <v>Lie</v>
      </c>
      <c r="AN214" s="4"/>
      <c r="AO214">
        <f t="shared" si="48"/>
        <v>1</v>
      </c>
      <c r="AP214">
        <f t="shared" si="49"/>
        <v>1</v>
      </c>
      <c r="AQ214">
        <f t="shared" si="50"/>
        <v>1</v>
      </c>
      <c r="AR214">
        <f t="shared" si="51"/>
        <v>6</v>
      </c>
      <c r="AS214">
        <f t="shared" si="62"/>
        <v>2</v>
      </c>
      <c r="AT214">
        <f t="shared" si="52"/>
        <v>1</v>
      </c>
      <c r="AU214">
        <f t="shared" si="53"/>
        <v>1</v>
      </c>
      <c r="AV214" s="19">
        <f t="shared" si="63"/>
        <v>1.1666666666666667</v>
      </c>
      <c r="AW214" s="4"/>
      <c r="AY214">
        <v>2</v>
      </c>
      <c r="AZ214">
        <v>4</v>
      </c>
      <c r="BA214">
        <v>1</v>
      </c>
      <c r="BB214">
        <v>2</v>
      </c>
      <c r="BC214">
        <v>3</v>
      </c>
      <c r="BD214">
        <v>4</v>
      </c>
      <c r="BE214">
        <f t="shared" si="54"/>
        <v>8</v>
      </c>
      <c r="BF214">
        <f t="shared" si="55"/>
        <v>1</v>
      </c>
      <c r="BG214">
        <f t="shared" si="56"/>
        <v>9</v>
      </c>
      <c r="BI214">
        <v>3</v>
      </c>
      <c r="BJ214">
        <v>6</v>
      </c>
      <c r="BK214">
        <v>3</v>
      </c>
      <c r="BL214">
        <v>2</v>
      </c>
      <c r="BM214">
        <v>4</v>
      </c>
      <c r="BN214">
        <v>2</v>
      </c>
      <c r="BO214">
        <f t="shared" si="57"/>
        <v>8</v>
      </c>
      <c r="BP214">
        <f t="shared" si="58"/>
        <v>1</v>
      </c>
      <c r="BQ214">
        <f t="shared" si="59"/>
        <v>9</v>
      </c>
      <c r="BR214">
        <f t="shared" si="60"/>
        <v>18</v>
      </c>
    </row>
    <row r="215" spans="1:70" ht="45" x14ac:dyDescent="0.25">
      <c r="A215" s="2" t="s">
        <v>33</v>
      </c>
      <c r="B215">
        <v>100</v>
      </c>
      <c r="C215">
        <v>175</v>
      </c>
      <c r="D215" s="2" t="s">
        <v>62</v>
      </c>
      <c r="E215" s="1">
        <v>44611.568651006943</v>
      </c>
      <c r="F215" s="2" t="s">
        <v>63</v>
      </c>
      <c r="G215" s="2" t="s">
        <v>63</v>
      </c>
      <c r="H215" s="2" t="s">
        <v>63</v>
      </c>
      <c r="I215" s="2" t="s">
        <v>63</v>
      </c>
      <c r="J215" s="2" t="s">
        <v>64</v>
      </c>
      <c r="K215" s="2" t="s">
        <v>65</v>
      </c>
      <c r="L215" s="2" t="s">
        <v>71</v>
      </c>
      <c r="M215" s="2" t="s">
        <v>71</v>
      </c>
      <c r="N215" s="2" t="s">
        <v>66</v>
      </c>
      <c r="O215" s="2" t="s">
        <v>81</v>
      </c>
      <c r="P215" s="2" t="s">
        <v>74</v>
      </c>
      <c r="Q215" s="2" t="s">
        <v>71</v>
      </c>
      <c r="R215" s="2" t="s">
        <v>72</v>
      </c>
      <c r="S215">
        <v>3</v>
      </c>
      <c r="T215">
        <v>4</v>
      </c>
      <c r="U215">
        <v>3</v>
      </c>
      <c r="V215">
        <v>5</v>
      </c>
      <c r="W215">
        <v>2</v>
      </c>
      <c r="X215">
        <v>3</v>
      </c>
      <c r="Y215" s="2" t="s">
        <v>72</v>
      </c>
      <c r="Z215">
        <v>3</v>
      </c>
      <c r="AA215">
        <v>2</v>
      </c>
      <c r="AB215">
        <v>4</v>
      </c>
      <c r="AC215">
        <v>5</v>
      </c>
      <c r="AD215">
        <v>3</v>
      </c>
      <c r="AE215">
        <v>3</v>
      </c>
      <c r="AF215" s="10" t="s">
        <v>171</v>
      </c>
      <c r="AG215" s="4"/>
      <c r="AH215" s="8">
        <v>213</v>
      </c>
      <c r="AI215">
        <v>0</v>
      </c>
      <c r="AJ215">
        <v>13</v>
      </c>
      <c r="AK215" s="8" t="s">
        <v>315</v>
      </c>
      <c r="AL215" t="s">
        <v>319</v>
      </c>
      <c r="AM215" t="str">
        <f t="shared" si="61"/>
        <v>Lie</v>
      </c>
      <c r="AN215" s="4"/>
      <c r="AO215">
        <f t="shared" si="48"/>
        <v>2</v>
      </c>
      <c r="AP215">
        <f t="shared" si="49"/>
        <v>2</v>
      </c>
      <c r="AQ215">
        <f t="shared" si="50"/>
        <v>1</v>
      </c>
      <c r="AR215">
        <f t="shared" si="51"/>
        <v>5</v>
      </c>
      <c r="AS215">
        <f t="shared" si="62"/>
        <v>3</v>
      </c>
      <c r="AT215">
        <f t="shared" si="52"/>
        <v>3</v>
      </c>
      <c r="AU215">
        <f t="shared" si="53"/>
        <v>2</v>
      </c>
      <c r="AV215" s="19">
        <f t="shared" si="63"/>
        <v>2.1666666666666665</v>
      </c>
      <c r="AW215" s="4"/>
      <c r="AY215">
        <v>2</v>
      </c>
      <c r="AZ215">
        <v>6</v>
      </c>
      <c r="BA215">
        <v>2</v>
      </c>
      <c r="BB215">
        <v>3</v>
      </c>
      <c r="BC215">
        <v>3</v>
      </c>
      <c r="BD215">
        <v>4</v>
      </c>
      <c r="BE215">
        <f t="shared" si="54"/>
        <v>8</v>
      </c>
      <c r="BF215">
        <f t="shared" si="55"/>
        <v>0</v>
      </c>
      <c r="BG215">
        <f t="shared" si="56"/>
        <v>8</v>
      </c>
      <c r="BI215">
        <v>4</v>
      </c>
      <c r="BJ215">
        <v>6</v>
      </c>
      <c r="BK215">
        <v>1</v>
      </c>
      <c r="BL215">
        <v>2</v>
      </c>
      <c r="BM215">
        <v>4</v>
      </c>
      <c r="BN215">
        <v>3</v>
      </c>
      <c r="BO215">
        <f t="shared" si="57"/>
        <v>12</v>
      </c>
      <c r="BP215">
        <f t="shared" si="58"/>
        <v>1</v>
      </c>
      <c r="BQ215">
        <f t="shared" si="59"/>
        <v>13</v>
      </c>
      <c r="BR215">
        <f t="shared" si="60"/>
        <v>21</v>
      </c>
    </row>
    <row r="216" spans="1:70" ht="45" x14ac:dyDescent="0.25">
      <c r="A216" s="2" t="s">
        <v>33</v>
      </c>
      <c r="B216">
        <v>100</v>
      </c>
      <c r="C216">
        <v>588</v>
      </c>
      <c r="D216" s="2" t="s">
        <v>62</v>
      </c>
      <c r="E216" s="1">
        <v>44611.588239930556</v>
      </c>
      <c r="F216" s="2" t="s">
        <v>63</v>
      </c>
      <c r="G216" s="2" t="s">
        <v>63</v>
      </c>
      <c r="H216" s="2" t="s">
        <v>63</v>
      </c>
      <c r="I216" s="2" t="s">
        <v>63</v>
      </c>
      <c r="J216" s="2" t="s">
        <v>64</v>
      </c>
      <c r="K216" s="2" t="s">
        <v>65</v>
      </c>
      <c r="L216" s="2" t="s">
        <v>74</v>
      </c>
      <c r="M216" s="2" t="s">
        <v>74</v>
      </c>
      <c r="N216" s="2" t="s">
        <v>66</v>
      </c>
      <c r="O216" s="2" t="s">
        <v>81</v>
      </c>
      <c r="P216" s="2" t="s">
        <v>74</v>
      </c>
      <c r="Q216" s="2" t="s">
        <v>74</v>
      </c>
      <c r="R216" s="2" t="s">
        <v>72</v>
      </c>
      <c r="S216">
        <v>3</v>
      </c>
      <c r="T216">
        <v>4</v>
      </c>
      <c r="U216">
        <v>3</v>
      </c>
      <c r="V216">
        <v>3</v>
      </c>
      <c r="W216">
        <v>5</v>
      </c>
      <c r="X216">
        <v>2</v>
      </c>
      <c r="Y216" s="2" t="s">
        <v>72</v>
      </c>
      <c r="Z216">
        <v>3</v>
      </c>
      <c r="AA216">
        <v>3</v>
      </c>
      <c r="AB216">
        <v>2</v>
      </c>
      <c r="AC216">
        <v>3</v>
      </c>
      <c r="AD216">
        <v>5</v>
      </c>
      <c r="AE216">
        <v>4</v>
      </c>
      <c r="AF216" s="10" t="s">
        <v>284</v>
      </c>
      <c r="AG216" s="4"/>
      <c r="AH216" s="8">
        <v>214</v>
      </c>
      <c r="AI216">
        <v>3</v>
      </c>
      <c r="AJ216">
        <v>3</v>
      </c>
      <c r="AK216" s="8" t="s">
        <v>315</v>
      </c>
      <c r="AL216" t="s">
        <v>319</v>
      </c>
      <c r="AM216" t="str">
        <f t="shared" si="61"/>
        <v>Lie</v>
      </c>
      <c r="AN216" s="4"/>
      <c r="AO216">
        <f t="shared" si="48"/>
        <v>3</v>
      </c>
      <c r="AP216">
        <f t="shared" si="49"/>
        <v>3</v>
      </c>
      <c r="AQ216">
        <f t="shared" si="50"/>
        <v>1</v>
      </c>
      <c r="AR216">
        <f t="shared" si="51"/>
        <v>5</v>
      </c>
      <c r="AS216">
        <f t="shared" si="62"/>
        <v>3</v>
      </c>
      <c r="AT216">
        <f t="shared" si="52"/>
        <v>3</v>
      </c>
      <c r="AU216">
        <f t="shared" si="53"/>
        <v>3</v>
      </c>
      <c r="AV216" s="19">
        <f t="shared" si="63"/>
        <v>2.6666666666666665</v>
      </c>
      <c r="AW216" s="4"/>
      <c r="AY216">
        <v>5</v>
      </c>
      <c r="AZ216">
        <v>3</v>
      </c>
      <c r="BA216">
        <v>1</v>
      </c>
      <c r="BB216">
        <v>2</v>
      </c>
      <c r="BC216">
        <v>5</v>
      </c>
      <c r="BD216">
        <v>4</v>
      </c>
      <c r="BE216">
        <f t="shared" si="54"/>
        <v>8</v>
      </c>
      <c r="BF216">
        <f t="shared" si="55"/>
        <v>0</v>
      </c>
      <c r="BG216">
        <f t="shared" si="56"/>
        <v>8</v>
      </c>
      <c r="BI216">
        <v>5</v>
      </c>
      <c r="BJ216">
        <v>2</v>
      </c>
      <c r="BK216">
        <v>1</v>
      </c>
      <c r="BL216">
        <v>3</v>
      </c>
      <c r="BM216">
        <v>4</v>
      </c>
      <c r="BN216">
        <v>5</v>
      </c>
      <c r="BO216">
        <f t="shared" si="57"/>
        <v>6</v>
      </c>
      <c r="BP216">
        <f t="shared" si="58"/>
        <v>1</v>
      </c>
      <c r="BQ216">
        <f t="shared" si="59"/>
        <v>7</v>
      </c>
      <c r="BR216">
        <f t="shared" si="60"/>
        <v>15</v>
      </c>
    </row>
    <row r="217" spans="1:70" ht="30" x14ac:dyDescent="0.25">
      <c r="A217" s="2" t="s">
        <v>33</v>
      </c>
      <c r="B217">
        <v>100</v>
      </c>
      <c r="C217">
        <v>256</v>
      </c>
      <c r="D217" s="2" t="s">
        <v>62</v>
      </c>
      <c r="E217" s="1">
        <v>44612.193233935184</v>
      </c>
      <c r="F217" s="2" t="s">
        <v>63</v>
      </c>
      <c r="G217" s="2" t="s">
        <v>63</v>
      </c>
      <c r="H217" s="2" t="s">
        <v>63</v>
      </c>
      <c r="I217" s="2" t="s">
        <v>63</v>
      </c>
      <c r="J217" s="2" t="s">
        <v>64</v>
      </c>
      <c r="K217" s="2" t="s">
        <v>65</v>
      </c>
      <c r="L217" s="2" t="s">
        <v>66</v>
      </c>
      <c r="M217" s="2" t="s">
        <v>71</v>
      </c>
      <c r="N217" s="2" t="s">
        <v>66</v>
      </c>
      <c r="O217" s="2" t="s">
        <v>78</v>
      </c>
      <c r="P217" s="2" t="s">
        <v>71</v>
      </c>
      <c r="Q217" s="2" t="s">
        <v>71</v>
      </c>
      <c r="R217" s="2" t="s">
        <v>69</v>
      </c>
      <c r="S217">
        <v>0</v>
      </c>
      <c r="T217">
        <v>5</v>
      </c>
      <c r="U217">
        <v>1</v>
      </c>
      <c r="V217">
        <v>5</v>
      </c>
      <c r="W217">
        <v>3</v>
      </c>
      <c r="X217">
        <v>6</v>
      </c>
      <c r="Y217" s="2" t="s">
        <v>68</v>
      </c>
      <c r="Z217">
        <v>0</v>
      </c>
      <c r="AA217">
        <v>4</v>
      </c>
      <c r="AB217">
        <v>2</v>
      </c>
      <c r="AC217">
        <v>5</v>
      </c>
      <c r="AD217">
        <v>3</v>
      </c>
      <c r="AE217">
        <v>6</v>
      </c>
      <c r="AF217" s="10" t="s">
        <v>285</v>
      </c>
      <c r="AG217" s="4"/>
      <c r="AH217" s="8">
        <v>215</v>
      </c>
      <c r="AI217">
        <v>0</v>
      </c>
      <c r="AJ217">
        <v>16</v>
      </c>
      <c r="AK217" s="8" t="s">
        <v>317</v>
      </c>
      <c r="AL217" t="s">
        <v>320</v>
      </c>
      <c r="AM217" t="str">
        <f t="shared" si="61"/>
        <v>Lie</v>
      </c>
      <c r="AN217" s="4"/>
      <c r="AO217">
        <f t="shared" si="48"/>
        <v>1</v>
      </c>
      <c r="AP217">
        <f t="shared" si="49"/>
        <v>2</v>
      </c>
      <c r="AQ217">
        <f t="shared" si="50"/>
        <v>1</v>
      </c>
      <c r="AR217">
        <f t="shared" si="51"/>
        <v>7</v>
      </c>
      <c r="AS217">
        <f t="shared" si="62"/>
        <v>1</v>
      </c>
      <c r="AT217">
        <f t="shared" si="52"/>
        <v>2</v>
      </c>
      <c r="AU217">
        <f t="shared" si="53"/>
        <v>2</v>
      </c>
      <c r="AV217" s="19">
        <f t="shared" si="63"/>
        <v>1.5</v>
      </c>
      <c r="AW217" s="4"/>
      <c r="AY217">
        <v>1</v>
      </c>
      <c r="AZ217">
        <v>7</v>
      </c>
      <c r="BA217">
        <v>2</v>
      </c>
      <c r="BB217">
        <v>2</v>
      </c>
      <c r="BC217">
        <v>1</v>
      </c>
      <c r="BD217">
        <v>5</v>
      </c>
      <c r="BE217">
        <f t="shared" si="54"/>
        <v>10</v>
      </c>
      <c r="BF217">
        <f t="shared" si="55"/>
        <v>1</v>
      </c>
      <c r="BG217">
        <f t="shared" si="56"/>
        <v>11</v>
      </c>
      <c r="BI217">
        <v>3</v>
      </c>
      <c r="BJ217">
        <v>6</v>
      </c>
      <c r="BK217">
        <v>2</v>
      </c>
      <c r="BL217">
        <v>1</v>
      </c>
      <c r="BM217">
        <v>5</v>
      </c>
      <c r="BN217">
        <v>3</v>
      </c>
      <c r="BO217">
        <f t="shared" si="57"/>
        <v>14</v>
      </c>
      <c r="BP217">
        <f t="shared" si="58"/>
        <v>1</v>
      </c>
      <c r="BQ217">
        <f t="shared" si="59"/>
        <v>15</v>
      </c>
      <c r="BR217">
        <f t="shared" si="60"/>
        <v>26</v>
      </c>
    </row>
    <row r="218" spans="1:70" ht="30" x14ac:dyDescent="0.25">
      <c r="A218" s="2" t="s">
        <v>33</v>
      </c>
      <c r="B218">
        <v>100</v>
      </c>
      <c r="C218">
        <v>2105</v>
      </c>
      <c r="D218" s="2" t="s">
        <v>62</v>
      </c>
      <c r="E218" s="1">
        <v>44612.553956631942</v>
      </c>
      <c r="F218" s="2" t="s">
        <v>63</v>
      </c>
      <c r="G218" s="2" t="s">
        <v>63</v>
      </c>
      <c r="H218" s="2" t="s">
        <v>63</v>
      </c>
      <c r="I218" s="2" t="s">
        <v>63</v>
      </c>
      <c r="J218" s="2" t="s">
        <v>64</v>
      </c>
      <c r="K218" s="2" t="s">
        <v>65</v>
      </c>
      <c r="L218" s="2" t="s">
        <v>66</v>
      </c>
      <c r="M218" s="2" t="s">
        <v>74</v>
      </c>
      <c r="N218" s="2" t="s">
        <v>66</v>
      </c>
      <c r="O218" s="2" t="s">
        <v>67</v>
      </c>
      <c r="P218" s="2" t="s">
        <v>71</v>
      </c>
      <c r="Q218" s="2" t="s">
        <v>74</v>
      </c>
      <c r="R218" s="2" t="s">
        <v>72</v>
      </c>
      <c r="S218">
        <v>3</v>
      </c>
      <c r="T218">
        <v>3</v>
      </c>
      <c r="U218">
        <v>2</v>
      </c>
      <c r="V218">
        <v>5</v>
      </c>
      <c r="W218">
        <v>4</v>
      </c>
      <c r="X218">
        <v>3</v>
      </c>
      <c r="Y218" s="2" t="s">
        <v>72</v>
      </c>
      <c r="Z218">
        <v>3</v>
      </c>
      <c r="AA218">
        <v>3</v>
      </c>
      <c r="AB218">
        <v>2</v>
      </c>
      <c r="AC218">
        <v>5</v>
      </c>
      <c r="AD218">
        <v>4</v>
      </c>
      <c r="AE218">
        <v>3</v>
      </c>
      <c r="AF218" s="10" t="s">
        <v>286</v>
      </c>
      <c r="AG218" s="4"/>
      <c r="AH218" s="8">
        <v>216</v>
      </c>
      <c r="AI218">
        <v>0</v>
      </c>
      <c r="AJ218">
        <v>0</v>
      </c>
      <c r="AK218" s="8" t="s">
        <v>315</v>
      </c>
      <c r="AL218" t="s">
        <v>316</v>
      </c>
      <c r="AM218" t="str">
        <f t="shared" si="61"/>
        <v>Honest</v>
      </c>
      <c r="AN218" s="4"/>
      <c r="AO218">
        <f t="shared" si="48"/>
        <v>1</v>
      </c>
      <c r="AP218">
        <f t="shared" si="49"/>
        <v>3</v>
      </c>
      <c r="AQ218">
        <f t="shared" si="50"/>
        <v>1</v>
      </c>
      <c r="AR218">
        <f t="shared" si="51"/>
        <v>6</v>
      </c>
      <c r="AS218">
        <f t="shared" si="62"/>
        <v>2</v>
      </c>
      <c r="AT218">
        <f t="shared" si="52"/>
        <v>2</v>
      </c>
      <c r="AU218">
        <f t="shared" si="53"/>
        <v>3</v>
      </c>
      <c r="AV218" s="19">
        <f t="shared" si="63"/>
        <v>2</v>
      </c>
      <c r="AW218" s="4"/>
      <c r="AY218">
        <v>3</v>
      </c>
      <c r="AZ218">
        <v>2</v>
      </c>
      <c r="BA218">
        <v>1</v>
      </c>
      <c r="BB218">
        <v>4</v>
      </c>
      <c r="BC218">
        <v>5</v>
      </c>
      <c r="BD218">
        <v>5</v>
      </c>
      <c r="BE218">
        <f t="shared" si="54"/>
        <v>6</v>
      </c>
      <c r="BF218">
        <f t="shared" si="55"/>
        <v>0</v>
      </c>
      <c r="BG218">
        <f t="shared" si="56"/>
        <v>6</v>
      </c>
      <c r="BI218">
        <v>3</v>
      </c>
      <c r="BJ218">
        <v>2</v>
      </c>
      <c r="BK218">
        <v>1</v>
      </c>
      <c r="BL218">
        <v>4</v>
      </c>
      <c r="BM218">
        <v>5</v>
      </c>
      <c r="BN218">
        <v>5</v>
      </c>
      <c r="BO218">
        <f t="shared" si="57"/>
        <v>6</v>
      </c>
      <c r="BP218">
        <f t="shared" si="58"/>
        <v>1</v>
      </c>
      <c r="BQ218">
        <f t="shared" si="59"/>
        <v>7</v>
      </c>
      <c r="BR218">
        <f t="shared" si="60"/>
        <v>13</v>
      </c>
    </row>
    <row r="219" spans="1:70" ht="45" x14ac:dyDescent="0.25">
      <c r="A219" s="2" t="s">
        <v>33</v>
      </c>
      <c r="B219">
        <v>100</v>
      </c>
      <c r="C219">
        <v>185</v>
      </c>
      <c r="D219" s="2" t="s">
        <v>62</v>
      </c>
      <c r="E219" s="1">
        <v>44612.639366805553</v>
      </c>
      <c r="F219" s="2" t="s">
        <v>63</v>
      </c>
      <c r="G219" s="2" t="s">
        <v>63</v>
      </c>
      <c r="H219" s="2" t="s">
        <v>63</v>
      </c>
      <c r="I219" s="2" t="s">
        <v>63</v>
      </c>
      <c r="J219" s="2" t="s">
        <v>64</v>
      </c>
      <c r="K219" s="2" t="s">
        <v>65</v>
      </c>
      <c r="L219" s="2" t="s">
        <v>71</v>
      </c>
      <c r="M219" s="2" t="s">
        <v>74</v>
      </c>
      <c r="N219" s="2" t="s">
        <v>66</v>
      </c>
      <c r="O219" s="2" t="s">
        <v>81</v>
      </c>
      <c r="P219" s="2" t="s">
        <v>74</v>
      </c>
      <c r="Q219" s="2" t="s">
        <v>74</v>
      </c>
      <c r="R219" s="2" t="s">
        <v>69</v>
      </c>
      <c r="S219">
        <v>2</v>
      </c>
      <c r="T219">
        <v>4</v>
      </c>
      <c r="U219">
        <v>3</v>
      </c>
      <c r="V219">
        <v>5</v>
      </c>
      <c r="W219">
        <v>4</v>
      </c>
      <c r="X219">
        <v>2</v>
      </c>
      <c r="Y219" s="2" t="s">
        <v>68</v>
      </c>
      <c r="Z219">
        <v>3</v>
      </c>
      <c r="AA219">
        <v>4</v>
      </c>
      <c r="AB219">
        <v>2</v>
      </c>
      <c r="AC219">
        <v>6</v>
      </c>
      <c r="AD219">
        <v>3</v>
      </c>
      <c r="AE219">
        <v>2</v>
      </c>
      <c r="AF219" s="10" t="s">
        <v>287</v>
      </c>
      <c r="AG219" s="4"/>
      <c r="AH219" s="8">
        <v>217</v>
      </c>
      <c r="AI219">
        <v>0</v>
      </c>
      <c r="AJ219">
        <v>0</v>
      </c>
      <c r="AK219" s="8" t="s">
        <v>317</v>
      </c>
      <c r="AL219" t="s">
        <v>318</v>
      </c>
      <c r="AM219" t="str">
        <f t="shared" si="61"/>
        <v>Honest</v>
      </c>
      <c r="AN219" s="4"/>
      <c r="AO219">
        <f t="shared" si="48"/>
        <v>2</v>
      </c>
      <c r="AP219">
        <f t="shared" si="49"/>
        <v>3</v>
      </c>
      <c r="AQ219">
        <f t="shared" si="50"/>
        <v>1</v>
      </c>
      <c r="AR219">
        <f t="shared" si="51"/>
        <v>5</v>
      </c>
      <c r="AS219">
        <f t="shared" si="62"/>
        <v>3</v>
      </c>
      <c r="AT219">
        <f t="shared" si="52"/>
        <v>3</v>
      </c>
      <c r="AU219">
        <f t="shared" si="53"/>
        <v>3</v>
      </c>
      <c r="AV219" s="19">
        <f t="shared" si="63"/>
        <v>2.5</v>
      </c>
      <c r="AW219" s="4"/>
      <c r="AY219">
        <v>4</v>
      </c>
      <c r="AZ219">
        <v>2</v>
      </c>
      <c r="BA219">
        <v>1</v>
      </c>
      <c r="BB219">
        <v>3</v>
      </c>
      <c r="BC219">
        <v>6</v>
      </c>
      <c r="BD219">
        <v>4</v>
      </c>
      <c r="BE219">
        <f t="shared" si="54"/>
        <v>12</v>
      </c>
      <c r="BF219">
        <f t="shared" si="55"/>
        <v>1</v>
      </c>
      <c r="BG219">
        <f t="shared" si="56"/>
        <v>13</v>
      </c>
      <c r="BI219">
        <v>4</v>
      </c>
      <c r="BJ219">
        <v>2</v>
      </c>
      <c r="BK219">
        <v>1</v>
      </c>
      <c r="BL219">
        <v>3</v>
      </c>
      <c r="BM219">
        <v>6</v>
      </c>
      <c r="BN219">
        <v>4</v>
      </c>
      <c r="BO219">
        <f t="shared" si="57"/>
        <v>12</v>
      </c>
      <c r="BP219">
        <f t="shared" si="58"/>
        <v>1</v>
      </c>
      <c r="BQ219">
        <f t="shared" si="59"/>
        <v>13</v>
      </c>
      <c r="BR219">
        <f t="shared" si="60"/>
        <v>26</v>
      </c>
    </row>
    <row r="220" spans="1:70" ht="30" x14ac:dyDescent="0.25">
      <c r="A220" s="2" t="s">
        <v>33</v>
      </c>
      <c r="B220">
        <v>100</v>
      </c>
      <c r="C220">
        <v>505</v>
      </c>
      <c r="D220" s="2" t="s">
        <v>62</v>
      </c>
      <c r="E220" s="1">
        <v>44613.289888946761</v>
      </c>
      <c r="F220" s="2" t="s">
        <v>63</v>
      </c>
      <c r="G220" s="2" t="s">
        <v>63</v>
      </c>
      <c r="H220" s="2" t="s">
        <v>63</v>
      </c>
      <c r="I220" s="2" t="s">
        <v>63</v>
      </c>
      <c r="J220" s="2" t="s">
        <v>64</v>
      </c>
      <c r="K220" s="2" t="s">
        <v>65</v>
      </c>
      <c r="L220" s="2" t="s">
        <v>66</v>
      </c>
      <c r="M220" s="2" t="s">
        <v>74</v>
      </c>
      <c r="N220" s="2" t="s">
        <v>66</v>
      </c>
      <c r="O220" s="2" t="s">
        <v>74</v>
      </c>
      <c r="P220" s="2" t="s">
        <v>71</v>
      </c>
      <c r="Q220" s="2" t="s">
        <v>66</v>
      </c>
      <c r="R220" s="2" t="s">
        <v>72</v>
      </c>
      <c r="S220">
        <v>3</v>
      </c>
      <c r="T220">
        <v>3</v>
      </c>
      <c r="U220">
        <v>4</v>
      </c>
      <c r="V220">
        <v>3</v>
      </c>
      <c r="W220">
        <v>5</v>
      </c>
      <c r="X220">
        <v>2</v>
      </c>
      <c r="Y220" s="2" t="s">
        <v>69</v>
      </c>
      <c r="Z220">
        <v>3</v>
      </c>
      <c r="AA220">
        <v>4</v>
      </c>
      <c r="AB220">
        <v>4</v>
      </c>
      <c r="AC220">
        <v>2</v>
      </c>
      <c r="AD220">
        <v>5</v>
      </c>
      <c r="AE220">
        <v>2</v>
      </c>
      <c r="AF220" s="10" t="s">
        <v>288</v>
      </c>
      <c r="AG220" s="4"/>
      <c r="AH220" s="8">
        <v>218</v>
      </c>
      <c r="AI220">
        <v>0</v>
      </c>
      <c r="AJ220">
        <v>0</v>
      </c>
      <c r="AK220" s="8" t="s">
        <v>317</v>
      </c>
      <c r="AL220" t="s">
        <v>318</v>
      </c>
      <c r="AM220" t="str">
        <f t="shared" si="61"/>
        <v>Honest</v>
      </c>
      <c r="AN220" s="4"/>
      <c r="AO220">
        <f t="shared" si="48"/>
        <v>1</v>
      </c>
      <c r="AP220">
        <f t="shared" si="49"/>
        <v>3</v>
      </c>
      <c r="AQ220">
        <f t="shared" si="50"/>
        <v>1</v>
      </c>
      <c r="AR220">
        <f t="shared" si="51"/>
        <v>3</v>
      </c>
      <c r="AS220">
        <f t="shared" si="62"/>
        <v>5</v>
      </c>
      <c r="AT220">
        <f t="shared" si="52"/>
        <v>2</v>
      </c>
      <c r="AU220">
        <f t="shared" si="53"/>
        <v>1</v>
      </c>
      <c r="AV220" s="19">
        <f t="shared" si="63"/>
        <v>2.1666666666666665</v>
      </c>
      <c r="AW220" s="4"/>
      <c r="AY220">
        <v>4</v>
      </c>
      <c r="AZ220">
        <v>3</v>
      </c>
      <c r="BA220">
        <v>4</v>
      </c>
      <c r="BB220">
        <v>2</v>
      </c>
      <c r="BC220">
        <v>5</v>
      </c>
      <c r="BD220">
        <v>2</v>
      </c>
      <c r="BE220">
        <f t="shared" si="54"/>
        <v>2</v>
      </c>
      <c r="BF220">
        <f t="shared" si="55"/>
        <v>0</v>
      </c>
      <c r="BG220">
        <f t="shared" si="56"/>
        <v>2</v>
      </c>
      <c r="BI220">
        <v>4</v>
      </c>
      <c r="BJ220">
        <v>3</v>
      </c>
      <c r="BK220">
        <v>4</v>
      </c>
      <c r="BL220">
        <v>2</v>
      </c>
      <c r="BM220">
        <v>5</v>
      </c>
      <c r="BN220">
        <v>2</v>
      </c>
      <c r="BO220">
        <f t="shared" si="57"/>
        <v>2</v>
      </c>
      <c r="BP220">
        <f t="shared" si="58"/>
        <v>0</v>
      </c>
      <c r="BQ220">
        <f t="shared" si="59"/>
        <v>2</v>
      </c>
      <c r="BR220">
        <f t="shared" si="60"/>
        <v>4</v>
      </c>
    </row>
    <row r="221" spans="1:70" ht="30" x14ac:dyDescent="0.25">
      <c r="A221" s="2" t="s">
        <v>33</v>
      </c>
      <c r="B221">
        <v>100</v>
      </c>
      <c r="C221">
        <v>191</v>
      </c>
      <c r="D221" s="2" t="s">
        <v>62</v>
      </c>
      <c r="E221" s="1">
        <v>44614.217178287035</v>
      </c>
      <c r="F221" s="2" t="s">
        <v>63</v>
      </c>
      <c r="G221" s="2" t="s">
        <v>63</v>
      </c>
      <c r="H221" s="2" t="s">
        <v>63</v>
      </c>
      <c r="I221" s="2" t="s">
        <v>63</v>
      </c>
      <c r="J221" s="2" t="s">
        <v>64</v>
      </c>
      <c r="K221" s="2" t="s">
        <v>65</v>
      </c>
      <c r="L221" s="2" t="s">
        <v>74</v>
      </c>
      <c r="M221" s="2" t="s">
        <v>66</v>
      </c>
      <c r="N221" s="2" t="s">
        <v>71</v>
      </c>
      <c r="O221" s="2" t="s">
        <v>74</v>
      </c>
      <c r="P221" s="2" t="s">
        <v>74</v>
      </c>
      <c r="Q221" s="2" t="s">
        <v>71</v>
      </c>
      <c r="R221" s="2" t="s">
        <v>69</v>
      </c>
      <c r="S221">
        <v>4</v>
      </c>
      <c r="T221">
        <v>1</v>
      </c>
      <c r="U221">
        <v>4</v>
      </c>
      <c r="V221">
        <v>2</v>
      </c>
      <c r="W221">
        <v>3</v>
      </c>
      <c r="X221">
        <v>6</v>
      </c>
      <c r="Y221" s="2" t="s">
        <v>68</v>
      </c>
      <c r="Z221">
        <v>5</v>
      </c>
      <c r="AA221">
        <v>2</v>
      </c>
      <c r="AB221">
        <v>3</v>
      </c>
      <c r="AC221">
        <v>4</v>
      </c>
      <c r="AD221">
        <v>2</v>
      </c>
      <c r="AE221">
        <v>4</v>
      </c>
      <c r="AF221" s="10" t="s">
        <v>289</v>
      </c>
      <c r="AG221" s="4"/>
      <c r="AH221" s="8">
        <v>219</v>
      </c>
      <c r="AI221">
        <v>0</v>
      </c>
      <c r="AJ221">
        <v>2</v>
      </c>
      <c r="AK221" s="8" t="s">
        <v>315</v>
      </c>
      <c r="AL221" t="s">
        <v>319</v>
      </c>
      <c r="AM221" t="str">
        <f t="shared" si="61"/>
        <v>Lie</v>
      </c>
      <c r="AN221" s="4"/>
      <c r="AO221">
        <f t="shared" si="48"/>
        <v>3</v>
      </c>
      <c r="AP221">
        <f t="shared" si="49"/>
        <v>1</v>
      </c>
      <c r="AQ221">
        <f t="shared" si="50"/>
        <v>2</v>
      </c>
      <c r="AR221">
        <f t="shared" si="51"/>
        <v>3</v>
      </c>
      <c r="AS221">
        <f t="shared" si="62"/>
        <v>5</v>
      </c>
      <c r="AT221">
        <f t="shared" si="52"/>
        <v>3</v>
      </c>
      <c r="AU221">
        <f t="shared" si="53"/>
        <v>2</v>
      </c>
      <c r="AV221" s="19">
        <f t="shared" si="63"/>
        <v>2.6666666666666665</v>
      </c>
      <c r="AW221" s="4"/>
      <c r="AY221">
        <v>2</v>
      </c>
      <c r="AZ221">
        <v>2</v>
      </c>
      <c r="BA221">
        <v>6</v>
      </c>
      <c r="BB221">
        <v>2</v>
      </c>
      <c r="BC221">
        <v>3</v>
      </c>
      <c r="BD221">
        <v>2</v>
      </c>
      <c r="BE221">
        <f t="shared" si="54"/>
        <v>9</v>
      </c>
      <c r="BF221">
        <f t="shared" si="55"/>
        <v>1</v>
      </c>
      <c r="BG221">
        <f t="shared" si="56"/>
        <v>10</v>
      </c>
      <c r="BI221">
        <v>2</v>
      </c>
      <c r="BJ221">
        <v>4</v>
      </c>
      <c r="BK221">
        <v>7</v>
      </c>
      <c r="BL221">
        <v>2</v>
      </c>
      <c r="BM221">
        <v>3</v>
      </c>
      <c r="BN221">
        <v>2</v>
      </c>
      <c r="BO221">
        <f t="shared" si="57"/>
        <v>14</v>
      </c>
      <c r="BP221">
        <f t="shared" si="58"/>
        <v>1</v>
      </c>
      <c r="BQ221">
        <f t="shared" si="59"/>
        <v>15</v>
      </c>
      <c r="BR221">
        <f t="shared" si="60"/>
        <v>25</v>
      </c>
    </row>
    <row r="222" spans="1:70" ht="30" x14ac:dyDescent="0.25">
      <c r="A222" s="2" t="s">
        <v>33</v>
      </c>
      <c r="B222">
        <v>100</v>
      </c>
      <c r="C222">
        <v>424</v>
      </c>
      <c r="D222" s="2" t="s">
        <v>62</v>
      </c>
      <c r="E222" s="1">
        <v>44614.378811226852</v>
      </c>
      <c r="F222" s="2" t="s">
        <v>63</v>
      </c>
      <c r="G222" s="2" t="s">
        <v>63</v>
      </c>
      <c r="H222" s="2" t="s">
        <v>63</v>
      </c>
      <c r="I222" s="2" t="s">
        <v>63</v>
      </c>
      <c r="J222" s="2" t="s">
        <v>64</v>
      </c>
      <c r="K222" s="2" t="s">
        <v>65</v>
      </c>
      <c r="L222" s="2" t="s">
        <v>66</v>
      </c>
      <c r="M222" s="2" t="s">
        <v>71</v>
      </c>
      <c r="N222" s="2" t="s">
        <v>66</v>
      </c>
      <c r="O222" s="2" t="s">
        <v>67</v>
      </c>
      <c r="P222" s="2" t="s">
        <v>71</v>
      </c>
      <c r="Q222" s="2" t="s">
        <v>71</v>
      </c>
      <c r="R222" s="2" t="s">
        <v>72</v>
      </c>
      <c r="S222">
        <v>3</v>
      </c>
      <c r="T222">
        <v>2</v>
      </c>
      <c r="U222">
        <v>3</v>
      </c>
      <c r="V222">
        <v>3</v>
      </c>
      <c r="W222">
        <v>6</v>
      </c>
      <c r="X222">
        <v>3</v>
      </c>
      <c r="Y222" s="2" t="s">
        <v>72</v>
      </c>
      <c r="Z222">
        <v>3</v>
      </c>
      <c r="AA222">
        <v>2</v>
      </c>
      <c r="AB222">
        <v>3</v>
      </c>
      <c r="AC222">
        <v>3</v>
      </c>
      <c r="AD222">
        <v>6</v>
      </c>
      <c r="AE222">
        <v>3</v>
      </c>
      <c r="AF222" s="10" t="s">
        <v>290</v>
      </c>
      <c r="AG222" s="4"/>
      <c r="AH222" s="8">
        <v>220</v>
      </c>
      <c r="AI222">
        <v>0</v>
      </c>
      <c r="AJ222">
        <v>0</v>
      </c>
      <c r="AK222" s="8" t="s">
        <v>317</v>
      </c>
      <c r="AL222" t="s">
        <v>318</v>
      </c>
      <c r="AM222" t="str">
        <f t="shared" si="61"/>
        <v>Honest</v>
      </c>
      <c r="AN222" s="4"/>
      <c r="AO222">
        <f t="shared" si="48"/>
        <v>1</v>
      </c>
      <c r="AP222">
        <f t="shared" si="49"/>
        <v>2</v>
      </c>
      <c r="AQ222">
        <f t="shared" si="50"/>
        <v>1</v>
      </c>
      <c r="AR222">
        <f t="shared" si="51"/>
        <v>6</v>
      </c>
      <c r="AS222">
        <f t="shared" si="62"/>
        <v>2</v>
      </c>
      <c r="AT222">
        <f t="shared" si="52"/>
        <v>2</v>
      </c>
      <c r="AU222">
        <f t="shared" si="53"/>
        <v>2</v>
      </c>
      <c r="AV222" s="19">
        <f t="shared" si="63"/>
        <v>1.6666666666666667</v>
      </c>
      <c r="AW222" s="4"/>
      <c r="AY222">
        <v>3</v>
      </c>
      <c r="AZ222">
        <v>2</v>
      </c>
      <c r="BA222">
        <v>3</v>
      </c>
      <c r="BB222">
        <v>4</v>
      </c>
      <c r="BC222">
        <v>5</v>
      </c>
      <c r="BD222">
        <v>3</v>
      </c>
      <c r="BE222">
        <f t="shared" si="54"/>
        <v>2</v>
      </c>
      <c r="BF222">
        <f t="shared" si="55"/>
        <v>0</v>
      </c>
      <c r="BG222">
        <f t="shared" si="56"/>
        <v>2</v>
      </c>
      <c r="BI222">
        <v>3</v>
      </c>
      <c r="BJ222">
        <v>2</v>
      </c>
      <c r="BK222">
        <v>3</v>
      </c>
      <c r="BL222">
        <v>4</v>
      </c>
      <c r="BM222">
        <v>5</v>
      </c>
      <c r="BN222">
        <v>3</v>
      </c>
      <c r="BO222">
        <f t="shared" si="57"/>
        <v>2</v>
      </c>
      <c r="BP222">
        <f t="shared" si="58"/>
        <v>1</v>
      </c>
      <c r="BQ222">
        <f t="shared" si="59"/>
        <v>3</v>
      </c>
      <c r="BR222">
        <f t="shared" si="60"/>
        <v>5</v>
      </c>
    </row>
    <row r="223" spans="1:70" ht="30" x14ac:dyDescent="0.25">
      <c r="A223" s="2" t="s">
        <v>33</v>
      </c>
      <c r="B223">
        <v>100</v>
      </c>
      <c r="C223">
        <v>171</v>
      </c>
      <c r="D223" s="2" t="s">
        <v>62</v>
      </c>
      <c r="E223" s="1">
        <v>44614.527428900466</v>
      </c>
      <c r="F223" s="2" t="s">
        <v>63</v>
      </c>
      <c r="G223" s="2" t="s">
        <v>63</v>
      </c>
      <c r="H223" s="2" t="s">
        <v>63</v>
      </c>
      <c r="I223" s="2" t="s">
        <v>63</v>
      </c>
      <c r="J223" s="2" t="s">
        <v>64</v>
      </c>
      <c r="K223" s="2" t="s">
        <v>65</v>
      </c>
      <c r="L223" s="2" t="s">
        <v>74</v>
      </c>
      <c r="M223" s="2" t="s">
        <v>71</v>
      </c>
      <c r="N223" s="2" t="s">
        <v>66</v>
      </c>
      <c r="O223" s="2" t="s">
        <v>67</v>
      </c>
      <c r="P223" s="2" t="s">
        <v>71</v>
      </c>
      <c r="Q223" s="2" t="s">
        <v>71</v>
      </c>
      <c r="R223" s="2" t="s">
        <v>69</v>
      </c>
      <c r="S223">
        <v>3</v>
      </c>
      <c r="T223">
        <v>3</v>
      </c>
      <c r="U223">
        <v>2</v>
      </c>
      <c r="V223">
        <v>3</v>
      </c>
      <c r="W223">
        <v>5</v>
      </c>
      <c r="X223">
        <v>4</v>
      </c>
      <c r="Y223" s="2" t="s">
        <v>68</v>
      </c>
      <c r="Z223">
        <v>3</v>
      </c>
      <c r="AA223">
        <v>4</v>
      </c>
      <c r="AB223">
        <v>6</v>
      </c>
      <c r="AC223">
        <v>3</v>
      </c>
      <c r="AD223">
        <v>2</v>
      </c>
      <c r="AE223">
        <v>2</v>
      </c>
      <c r="AF223" s="10" t="s">
        <v>291</v>
      </c>
      <c r="AG223" s="4"/>
      <c r="AH223" s="8">
        <v>221</v>
      </c>
      <c r="AI223">
        <v>0</v>
      </c>
      <c r="AJ223">
        <v>0</v>
      </c>
      <c r="AK223" s="8" t="s">
        <v>315</v>
      </c>
      <c r="AL223" t="s">
        <v>316</v>
      </c>
      <c r="AM223" t="str">
        <f t="shared" si="61"/>
        <v>Honest</v>
      </c>
      <c r="AN223" s="4"/>
      <c r="AO223">
        <f t="shared" si="48"/>
        <v>3</v>
      </c>
      <c r="AP223">
        <f t="shared" si="49"/>
        <v>2</v>
      </c>
      <c r="AQ223">
        <f t="shared" si="50"/>
        <v>1</v>
      </c>
      <c r="AR223">
        <f t="shared" si="51"/>
        <v>6</v>
      </c>
      <c r="AS223">
        <f t="shared" si="62"/>
        <v>2</v>
      </c>
      <c r="AT223">
        <f t="shared" si="52"/>
        <v>2</v>
      </c>
      <c r="AU223">
        <f t="shared" si="53"/>
        <v>2</v>
      </c>
      <c r="AV223" s="19">
        <f t="shared" si="63"/>
        <v>2</v>
      </c>
      <c r="AW223" s="4"/>
      <c r="AY223">
        <v>0</v>
      </c>
      <c r="AZ223">
        <v>6</v>
      </c>
      <c r="BA223">
        <v>7</v>
      </c>
      <c r="BB223">
        <v>2</v>
      </c>
      <c r="BC223">
        <v>1</v>
      </c>
      <c r="BD223">
        <v>4</v>
      </c>
      <c r="BE223">
        <f t="shared" si="54"/>
        <v>16</v>
      </c>
      <c r="BF223">
        <f t="shared" si="55"/>
        <v>1</v>
      </c>
      <c r="BG223">
        <f t="shared" si="56"/>
        <v>17</v>
      </c>
      <c r="BI223">
        <v>0</v>
      </c>
      <c r="BJ223">
        <v>4</v>
      </c>
      <c r="BK223">
        <v>8</v>
      </c>
      <c r="BL223">
        <v>2</v>
      </c>
      <c r="BM223">
        <v>3</v>
      </c>
      <c r="BN223">
        <v>3</v>
      </c>
      <c r="BO223">
        <f t="shared" si="57"/>
        <v>8</v>
      </c>
      <c r="BP223">
        <f t="shared" si="58"/>
        <v>1</v>
      </c>
      <c r="BQ223">
        <f t="shared" si="59"/>
        <v>9</v>
      </c>
      <c r="BR223">
        <f t="shared" si="60"/>
        <v>26</v>
      </c>
    </row>
    <row r="224" spans="1:70" ht="45" x14ac:dyDescent="0.25">
      <c r="A224" s="2" t="s">
        <v>33</v>
      </c>
      <c r="B224">
        <v>100</v>
      </c>
      <c r="C224">
        <v>324</v>
      </c>
      <c r="D224" s="2" t="s">
        <v>62</v>
      </c>
      <c r="E224" s="1">
        <v>44622.293048171297</v>
      </c>
      <c r="F224" s="2" t="s">
        <v>63</v>
      </c>
      <c r="G224" s="2" t="s">
        <v>63</v>
      </c>
      <c r="H224" s="2" t="s">
        <v>63</v>
      </c>
      <c r="I224" s="2" t="s">
        <v>63</v>
      </c>
      <c r="J224" s="2" t="s">
        <v>64</v>
      </c>
      <c r="K224" s="2" t="s">
        <v>65</v>
      </c>
      <c r="L224" s="2" t="s">
        <v>81</v>
      </c>
      <c r="M224" s="2" t="s">
        <v>74</v>
      </c>
      <c r="N224" s="2" t="s">
        <v>74</v>
      </c>
      <c r="O224" s="2" t="s">
        <v>74</v>
      </c>
      <c r="P224" s="2" t="s">
        <v>81</v>
      </c>
      <c r="Q224" s="2" t="s">
        <v>81</v>
      </c>
      <c r="R224" s="2" t="s">
        <v>72</v>
      </c>
      <c r="S224">
        <v>2</v>
      </c>
      <c r="T224">
        <v>5</v>
      </c>
      <c r="U224">
        <v>3</v>
      </c>
      <c r="V224">
        <v>2</v>
      </c>
      <c r="W224">
        <v>4</v>
      </c>
      <c r="X224">
        <v>4</v>
      </c>
      <c r="Y224" s="2" t="s">
        <v>69</v>
      </c>
      <c r="Z224">
        <v>3</v>
      </c>
      <c r="AA224">
        <v>4</v>
      </c>
      <c r="AB224">
        <v>3</v>
      </c>
      <c r="AC224">
        <v>3</v>
      </c>
      <c r="AD224">
        <v>4</v>
      </c>
      <c r="AE224">
        <v>3</v>
      </c>
      <c r="AF224" s="10" t="s">
        <v>292</v>
      </c>
      <c r="AG224" s="4"/>
      <c r="AH224" s="8">
        <v>222</v>
      </c>
      <c r="AI224">
        <v>2</v>
      </c>
      <c r="AJ224">
        <v>3</v>
      </c>
      <c r="AK224" s="8" t="s">
        <v>315</v>
      </c>
      <c r="AL224" t="s">
        <v>319</v>
      </c>
      <c r="AM224" t="str">
        <f t="shared" si="61"/>
        <v>Lie</v>
      </c>
      <c r="AN224" s="4"/>
      <c r="AO224">
        <f t="shared" si="48"/>
        <v>5</v>
      </c>
      <c r="AP224">
        <f t="shared" si="49"/>
        <v>3</v>
      </c>
      <c r="AQ224">
        <f t="shared" si="50"/>
        <v>3</v>
      </c>
      <c r="AR224">
        <f t="shared" si="51"/>
        <v>3</v>
      </c>
      <c r="AS224">
        <f t="shared" si="62"/>
        <v>5</v>
      </c>
      <c r="AT224">
        <f t="shared" si="52"/>
        <v>5</v>
      </c>
      <c r="AU224">
        <f t="shared" si="53"/>
        <v>5</v>
      </c>
      <c r="AV224" s="19">
        <f t="shared" si="63"/>
        <v>4.333333333333333</v>
      </c>
      <c r="AW224" s="4"/>
      <c r="AY224">
        <v>3</v>
      </c>
      <c r="AZ224">
        <v>2</v>
      </c>
      <c r="BA224">
        <v>0</v>
      </c>
      <c r="BB224">
        <v>3</v>
      </c>
      <c r="BC224">
        <v>5</v>
      </c>
      <c r="BD224">
        <v>7</v>
      </c>
      <c r="BE224">
        <f t="shared" si="54"/>
        <v>12</v>
      </c>
      <c r="BF224">
        <f t="shared" si="55"/>
        <v>0</v>
      </c>
      <c r="BG224">
        <f t="shared" si="56"/>
        <v>12</v>
      </c>
      <c r="BI224">
        <v>4</v>
      </c>
      <c r="BJ224">
        <v>4</v>
      </c>
      <c r="BK224">
        <v>0</v>
      </c>
      <c r="BL224">
        <v>2</v>
      </c>
      <c r="BM224">
        <v>5</v>
      </c>
      <c r="BN224">
        <v>5</v>
      </c>
      <c r="BO224">
        <f t="shared" si="57"/>
        <v>8</v>
      </c>
      <c r="BP224">
        <f t="shared" si="58"/>
        <v>0</v>
      </c>
      <c r="BQ224">
        <f t="shared" si="59"/>
        <v>8</v>
      </c>
      <c r="BR224">
        <f t="shared" si="60"/>
        <v>20</v>
      </c>
    </row>
    <row r="225" spans="1:70" ht="30" x14ac:dyDescent="0.25">
      <c r="A225" s="2" t="s">
        <v>33</v>
      </c>
      <c r="B225">
        <v>100</v>
      </c>
      <c r="C225">
        <v>361</v>
      </c>
      <c r="D225" s="2" t="s">
        <v>62</v>
      </c>
      <c r="E225" s="1">
        <v>44622.314719849535</v>
      </c>
      <c r="F225" s="2" t="s">
        <v>63</v>
      </c>
      <c r="G225" s="2" t="s">
        <v>63</v>
      </c>
      <c r="H225" s="2" t="s">
        <v>63</v>
      </c>
      <c r="I225" s="2" t="s">
        <v>63</v>
      </c>
      <c r="J225" s="2" t="s">
        <v>64</v>
      </c>
      <c r="K225" s="2" t="s">
        <v>65</v>
      </c>
      <c r="L225" s="2" t="s">
        <v>66</v>
      </c>
      <c r="M225" s="2" t="s">
        <v>66</v>
      </c>
      <c r="N225" s="2" t="s">
        <v>66</v>
      </c>
      <c r="O225" s="2" t="s">
        <v>78</v>
      </c>
      <c r="P225" s="2" t="s">
        <v>71</v>
      </c>
      <c r="Q225" s="2" t="s">
        <v>74</v>
      </c>
      <c r="R225" s="2" t="s">
        <v>72</v>
      </c>
      <c r="S225">
        <v>3</v>
      </c>
      <c r="T225">
        <v>2</v>
      </c>
      <c r="U225">
        <v>4</v>
      </c>
      <c r="V225">
        <v>3</v>
      </c>
      <c r="W225">
        <v>5</v>
      </c>
      <c r="X225">
        <v>3</v>
      </c>
      <c r="Y225" s="2" t="s">
        <v>72</v>
      </c>
      <c r="Z225">
        <v>4</v>
      </c>
      <c r="AA225">
        <v>2</v>
      </c>
      <c r="AB225">
        <v>5</v>
      </c>
      <c r="AC225">
        <v>3</v>
      </c>
      <c r="AD225">
        <v>4</v>
      </c>
      <c r="AE225">
        <v>2</v>
      </c>
      <c r="AF225" s="10" t="s">
        <v>293</v>
      </c>
      <c r="AG225" s="4"/>
      <c r="AH225" s="8">
        <v>223</v>
      </c>
      <c r="AI225">
        <v>0</v>
      </c>
      <c r="AJ225">
        <v>0</v>
      </c>
      <c r="AK225" s="8" t="s">
        <v>317</v>
      </c>
      <c r="AL225" t="s">
        <v>318</v>
      </c>
      <c r="AM225" t="str">
        <f t="shared" si="61"/>
        <v>Honest</v>
      </c>
      <c r="AN225" s="4"/>
      <c r="AO225">
        <f t="shared" si="48"/>
        <v>1</v>
      </c>
      <c r="AP225">
        <f t="shared" si="49"/>
        <v>1</v>
      </c>
      <c r="AQ225">
        <f t="shared" si="50"/>
        <v>1</v>
      </c>
      <c r="AR225">
        <f t="shared" si="51"/>
        <v>7</v>
      </c>
      <c r="AS225">
        <f t="shared" si="62"/>
        <v>1</v>
      </c>
      <c r="AT225">
        <f t="shared" si="52"/>
        <v>2</v>
      </c>
      <c r="AU225">
        <f t="shared" si="53"/>
        <v>3</v>
      </c>
      <c r="AV225" s="19">
        <f t="shared" si="63"/>
        <v>1.5</v>
      </c>
      <c r="AW225" s="4"/>
      <c r="AY225">
        <v>4</v>
      </c>
      <c r="AZ225">
        <v>1</v>
      </c>
      <c r="BA225">
        <v>3</v>
      </c>
      <c r="BB225">
        <v>3</v>
      </c>
      <c r="BC225">
        <v>5</v>
      </c>
      <c r="BD225">
        <v>4</v>
      </c>
      <c r="BE225">
        <f t="shared" si="54"/>
        <v>4</v>
      </c>
      <c r="BF225">
        <f t="shared" si="55"/>
        <v>0</v>
      </c>
      <c r="BG225">
        <f t="shared" si="56"/>
        <v>4</v>
      </c>
      <c r="BI225">
        <v>4</v>
      </c>
      <c r="BJ225">
        <v>1</v>
      </c>
      <c r="BK225">
        <v>3</v>
      </c>
      <c r="BL225">
        <v>3</v>
      </c>
      <c r="BM225">
        <v>5</v>
      </c>
      <c r="BN225">
        <v>4</v>
      </c>
      <c r="BO225">
        <f t="shared" si="57"/>
        <v>6</v>
      </c>
      <c r="BP225">
        <f t="shared" si="58"/>
        <v>1</v>
      </c>
      <c r="BQ225">
        <f t="shared" si="59"/>
        <v>7</v>
      </c>
      <c r="BR225">
        <f t="shared" si="60"/>
        <v>11</v>
      </c>
    </row>
    <row r="226" spans="1:70" ht="30" x14ac:dyDescent="0.25">
      <c r="A226" s="2" t="s">
        <v>33</v>
      </c>
      <c r="B226">
        <v>100</v>
      </c>
      <c r="C226">
        <v>251</v>
      </c>
      <c r="D226" s="2" t="s">
        <v>62</v>
      </c>
      <c r="E226" s="1">
        <v>44622.366869652775</v>
      </c>
      <c r="F226" s="2" t="s">
        <v>63</v>
      </c>
      <c r="G226" s="2" t="s">
        <v>63</v>
      </c>
      <c r="H226" s="2" t="s">
        <v>63</v>
      </c>
      <c r="I226" s="2" t="s">
        <v>63</v>
      </c>
      <c r="J226" s="2" t="s">
        <v>64</v>
      </c>
      <c r="K226" s="2" t="s">
        <v>65</v>
      </c>
      <c r="L226" s="2" t="s">
        <v>66</v>
      </c>
      <c r="M226" s="2" t="s">
        <v>66</v>
      </c>
      <c r="N226" s="2" t="s">
        <v>66</v>
      </c>
      <c r="O226" s="2" t="s">
        <v>78</v>
      </c>
      <c r="P226" s="2" t="s">
        <v>66</v>
      </c>
      <c r="Q226" s="2" t="s">
        <v>66</v>
      </c>
      <c r="R226" s="2" t="s">
        <v>72</v>
      </c>
      <c r="S226">
        <v>3</v>
      </c>
      <c r="T226">
        <v>3</v>
      </c>
      <c r="U226">
        <v>3</v>
      </c>
      <c r="V226">
        <v>3</v>
      </c>
      <c r="W226">
        <v>4</v>
      </c>
      <c r="X226">
        <v>4</v>
      </c>
      <c r="Y226" s="2" t="s">
        <v>72</v>
      </c>
      <c r="Z226">
        <v>3</v>
      </c>
      <c r="AA226">
        <v>3</v>
      </c>
      <c r="AB226">
        <v>3</v>
      </c>
      <c r="AC226">
        <v>3</v>
      </c>
      <c r="AD226">
        <v>4</v>
      </c>
      <c r="AE226">
        <v>4</v>
      </c>
      <c r="AF226" s="10" t="s">
        <v>294</v>
      </c>
      <c r="AG226" s="4"/>
      <c r="AH226" s="8">
        <v>224</v>
      </c>
      <c r="AI226">
        <v>2</v>
      </c>
      <c r="AJ226">
        <v>4</v>
      </c>
      <c r="AK226" s="8" t="s">
        <v>315</v>
      </c>
      <c r="AL226" t="s">
        <v>319</v>
      </c>
      <c r="AM226" t="str">
        <f t="shared" si="61"/>
        <v>Lie</v>
      </c>
      <c r="AN226" s="4"/>
      <c r="AO226">
        <f t="shared" si="48"/>
        <v>1</v>
      </c>
      <c r="AP226">
        <f t="shared" si="49"/>
        <v>1</v>
      </c>
      <c r="AQ226">
        <f t="shared" si="50"/>
        <v>1</v>
      </c>
      <c r="AR226">
        <f t="shared" si="51"/>
        <v>7</v>
      </c>
      <c r="AS226">
        <f t="shared" si="62"/>
        <v>1</v>
      </c>
      <c r="AT226">
        <f t="shared" si="52"/>
        <v>1</v>
      </c>
      <c r="AU226">
        <f t="shared" si="53"/>
        <v>1</v>
      </c>
      <c r="AV226" s="19">
        <f t="shared" si="63"/>
        <v>1</v>
      </c>
      <c r="AW226" s="4"/>
      <c r="AY226">
        <v>4</v>
      </c>
      <c r="AZ226">
        <v>4</v>
      </c>
      <c r="BA226">
        <v>0</v>
      </c>
      <c r="BB226">
        <v>2</v>
      </c>
      <c r="BC226">
        <v>2</v>
      </c>
      <c r="BD226">
        <v>6</v>
      </c>
      <c r="BE226">
        <f t="shared" si="54"/>
        <v>10</v>
      </c>
      <c r="BF226">
        <f t="shared" si="55"/>
        <v>0</v>
      </c>
      <c r="BG226">
        <f t="shared" si="56"/>
        <v>10</v>
      </c>
      <c r="BI226">
        <v>4</v>
      </c>
      <c r="BJ226">
        <v>5</v>
      </c>
      <c r="BK226">
        <v>1</v>
      </c>
      <c r="BL226">
        <v>1</v>
      </c>
      <c r="BM226">
        <v>3</v>
      </c>
      <c r="BN226">
        <v>6</v>
      </c>
      <c r="BO226">
        <f t="shared" si="57"/>
        <v>10</v>
      </c>
      <c r="BP226">
        <f t="shared" si="58"/>
        <v>1</v>
      </c>
      <c r="BQ226">
        <f t="shared" si="59"/>
        <v>11</v>
      </c>
      <c r="BR226">
        <f t="shared" si="60"/>
        <v>21</v>
      </c>
    </row>
    <row r="227" spans="1:70" ht="45" x14ac:dyDescent="0.25">
      <c r="A227" s="2" t="s">
        <v>33</v>
      </c>
      <c r="B227">
        <v>100</v>
      </c>
      <c r="C227">
        <v>341</v>
      </c>
      <c r="D227" s="2" t="s">
        <v>62</v>
      </c>
      <c r="E227" s="1">
        <v>44622.49570349537</v>
      </c>
      <c r="F227" s="2" t="s">
        <v>63</v>
      </c>
      <c r="G227" s="2" t="s">
        <v>63</v>
      </c>
      <c r="H227" s="2" t="s">
        <v>63</v>
      </c>
      <c r="I227" s="2" t="s">
        <v>63</v>
      </c>
      <c r="J227" s="2" t="s">
        <v>64</v>
      </c>
      <c r="K227" s="2" t="s">
        <v>65</v>
      </c>
      <c r="L227" s="2" t="s">
        <v>66</v>
      </c>
      <c r="M227" s="2" t="s">
        <v>71</v>
      </c>
      <c r="N227" s="2" t="s">
        <v>66</v>
      </c>
      <c r="O227" s="2" t="s">
        <v>81</v>
      </c>
      <c r="P227" s="2" t="s">
        <v>74</v>
      </c>
      <c r="Q227" s="2" t="s">
        <v>71</v>
      </c>
      <c r="R227" s="2" t="s">
        <v>72</v>
      </c>
      <c r="S227">
        <v>2</v>
      </c>
      <c r="T227">
        <v>4</v>
      </c>
      <c r="U227">
        <v>2</v>
      </c>
      <c r="V227">
        <v>5</v>
      </c>
      <c r="W227">
        <v>4</v>
      </c>
      <c r="X227">
        <v>3</v>
      </c>
      <c r="Y227" s="2" t="s">
        <v>72</v>
      </c>
      <c r="Z227">
        <v>2</v>
      </c>
      <c r="AA227">
        <v>3</v>
      </c>
      <c r="AB227">
        <v>3</v>
      </c>
      <c r="AC227">
        <v>5</v>
      </c>
      <c r="AD227">
        <v>4</v>
      </c>
      <c r="AE227">
        <v>3</v>
      </c>
      <c r="AF227" s="10" t="s">
        <v>295</v>
      </c>
      <c r="AG227" s="4"/>
      <c r="AH227" s="8">
        <v>225</v>
      </c>
      <c r="AI227">
        <v>0</v>
      </c>
      <c r="AJ227">
        <v>0</v>
      </c>
      <c r="AK227" s="8" t="s">
        <v>317</v>
      </c>
      <c r="AL227" t="s">
        <v>318</v>
      </c>
      <c r="AM227" t="str">
        <f t="shared" si="61"/>
        <v>Honest</v>
      </c>
      <c r="AN227" s="4"/>
      <c r="AO227">
        <f t="shared" si="48"/>
        <v>1</v>
      </c>
      <c r="AP227">
        <f t="shared" si="49"/>
        <v>2</v>
      </c>
      <c r="AQ227">
        <f t="shared" si="50"/>
        <v>1</v>
      </c>
      <c r="AR227">
        <f t="shared" si="51"/>
        <v>5</v>
      </c>
      <c r="AS227">
        <f t="shared" si="62"/>
        <v>3</v>
      </c>
      <c r="AT227">
        <f t="shared" si="52"/>
        <v>3</v>
      </c>
      <c r="AU227">
        <f t="shared" si="53"/>
        <v>2</v>
      </c>
      <c r="AV227" s="19">
        <f t="shared" si="63"/>
        <v>2</v>
      </c>
      <c r="AW227" s="4"/>
      <c r="AY227">
        <v>6</v>
      </c>
      <c r="AZ227">
        <v>5</v>
      </c>
      <c r="BA227">
        <v>3</v>
      </c>
      <c r="BB227">
        <v>3</v>
      </c>
      <c r="BC227">
        <v>0</v>
      </c>
      <c r="BD227">
        <v>3</v>
      </c>
      <c r="BE227">
        <f t="shared" si="54"/>
        <v>12</v>
      </c>
      <c r="BF227">
        <f t="shared" si="55"/>
        <v>0</v>
      </c>
      <c r="BG227">
        <f t="shared" si="56"/>
        <v>12</v>
      </c>
      <c r="BI227">
        <v>6</v>
      </c>
      <c r="BJ227">
        <v>5</v>
      </c>
      <c r="BK227">
        <v>3</v>
      </c>
      <c r="BL227">
        <v>3</v>
      </c>
      <c r="BM227">
        <v>0</v>
      </c>
      <c r="BN227">
        <v>3</v>
      </c>
      <c r="BO227">
        <f t="shared" si="57"/>
        <v>12</v>
      </c>
      <c r="BP227">
        <f t="shared" si="58"/>
        <v>1</v>
      </c>
      <c r="BQ227">
        <f t="shared" si="59"/>
        <v>13</v>
      </c>
      <c r="BR227">
        <f t="shared" si="60"/>
        <v>25</v>
      </c>
    </row>
    <row r="228" spans="1:70" ht="30" x14ac:dyDescent="0.25">
      <c r="A228" s="2" t="s">
        <v>33</v>
      </c>
      <c r="B228">
        <v>100</v>
      </c>
      <c r="C228">
        <v>306</v>
      </c>
      <c r="D228" s="2" t="s">
        <v>62</v>
      </c>
      <c r="E228" s="1">
        <v>44622.500028761577</v>
      </c>
      <c r="F228" s="2" t="s">
        <v>63</v>
      </c>
      <c r="G228" s="2" t="s">
        <v>63</v>
      </c>
      <c r="H228" s="2" t="s">
        <v>63</v>
      </c>
      <c r="I228" s="2" t="s">
        <v>63</v>
      </c>
      <c r="J228" s="2" t="s">
        <v>64</v>
      </c>
      <c r="K228" s="2" t="s">
        <v>65</v>
      </c>
      <c r="L228" s="2" t="s">
        <v>71</v>
      </c>
      <c r="M228" s="2" t="s">
        <v>74</v>
      </c>
      <c r="N228" s="2" t="s">
        <v>71</v>
      </c>
      <c r="O228" s="2" t="s">
        <v>67</v>
      </c>
      <c r="P228" s="2" t="s">
        <v>74</v>
      </c>
      <c r="Q228" s="2" t="s">
        <v>71</v>
      </c>
      <c r="R228" s="2" t="s">
        <v>72</v>
      </c>
      <c r="S228">
        <v>4</v>
      </c>
      <c r="T228">
        <v>2</v>
      </c>
      <c r="U228">
        <v>2</v>
      </c>
      <c r="V228">
        <v>4</v>
      </c>
      <c r="W228">
        <v>5</v>
      </c>
      <c r="X228">
        <v>3</v>
      </c>
      <c r="Y228" s="2" t="s">
        <v>72</v>
      </c>
      <c r="Z228">
        <v>4</v>
      </c>
      <c r="AA228">
        <v>2</v>
      </c>
      <c r="AB228">
        <v>2</v>
      </c>
      <c r="AC228">
        <v>3</v>
      </c>
      <c r="AD228">
        <v>5</v>
      </c>
      <c r="AE228">
        <v>4</v>
      </c>
      <c r="AF228" s="10" t="s">
        <v>296</v>
      </c>
      <c r="AG228" s="4"/>
      <c r="AH228" s="8">
        <v>226</v>
      </c>
      <c r="AI228">
        <v>0</v>
      </c>
      <c r="AJ228">
        <v>0</v>
      </c>
      <c r="AK228" s="8" t="s">
        <v>317</v>
      </c>
      <c r="AL228" t="s">
        <v>318</v>
      </c>
      <c r="AM228" t="str">
        <f t="shared" si="61"/>
        <v>Honest</v>
      </c>
      <c r="AN228" s="4"/>
      <c r="AO228">
        <f t="shared" si="48"/>
        <v>2</v>
      </c>
      <c r="AP228">
        <f t="shared" si="49"/>
        <v>3</v>
      </c>
      <c r="AQ228">
        <f t="shared" si="50"/>
        <v>2</v>
      </c>
      <c r="AR228">
        <f t="shared" si="51"/>
        <v>6</v>
      </c>
      <c r="AS228">
        <f t="shared" si="62"/>
        <v>2</v>
      </c>
      <c r="AT228">
        <f t="shared" si="52"/>
        <v>3</v>
      </c>
      <c r="AU228">
        <f t="shared" si="53"/>
        <v>2</v>
      </c>
      <c r="AV228" s="19">
        <f t="shared" si="63"/>
        <v>2.3333333333333335</v>
      </c>
      <c r="AW228" s="4"/>
      <c r="AY228">
        <v>3</v>
      </c>
      <c r="AZ228">
        <v>4</v>
      </c>
      <c r="BA228">
        <v>1</v>
      </c>
      <c r="BB228">
        <v>5</v>
      </c>
      <c r="BC228">
        <v>5</v>
      </c>
      <c r="BD228">
        <v>2</v>
      </c>
      <c r="BE228">
        <f t="shared" si="54"/>
        <v>6</v>
      </c>
      <c r="BF228">
        <f t="shared" si="55"/>
        <v>0</v>
      </c>
      <c r="BG228">
        <f t="shared" si="56"/>
        <v>6</v>
      </c>
      <c r="BI228">
        <v>3</v>
      </c>
      <c r="BJ228">
        <v>4</v>
      </c>
      <c r="BK228">
        <v>1</v>
      </c>
      <c r="BL228">
        <v>5</v>
      </c>
      <c r="BM228">
        <v>5</v>
      </c>
      <c r="BN228">
        <v>2</v>
      </c>
      <c r="BO228">
        <f t="shared" si="57"/>
        <v>8</v>
      </c>
      <c r="BP228">
        <f t="shared" si="58"/>
        <v>1</v>
      </c>
      <c r="BQ228">
        <f t="shared" si="59"/>
        <v>9</v>
      </c>
      <c r="BR228">
        <f t="shared" si="60"/>
        <v>15</v>
      </c>
    </row>
    <row r="229" spans="1:70" ht="30" x14ac:dyDescent="0.25">
      <c r="A229" s="2" t="s">
        <v>33</v>
      </c>
      <c r="B229">
        <v>100</v>
      </c>
      <c r="C229">
        <v>233</v>
      </c>
      <c r="D229" s="2" t="s">
        <v>62</v>
      </c>
      <c r="E229" s="1">
        <v>44622.523798946757</v>
      </c>
      <c r="F229" s="2" t="s">
        <v>63</v>
      </c>
      <c r="G229" s="2" t="s">
        <v>63</v>
      </c>
      <c r="H229" s="2" t="s">
        <v>63</v>
      </c>
      <c r="I229" s="2" t="s">
        <v>63</v>
      </c>
      <c r="J229" s="2" t="s">
        <v>64</v>
      </c>
      <c r="K229" s="2" t="s">
        <v>65</v>
      </c>
      <c r="L229" s="2" t="s">
        <v>71</v>
      </c>
      <c r="M229" s="2" t="s">
        <v>71</v>
      </c>
      <c r="N229" s="2" t="s">
        <v>71</v>
      </c>
      <c r="O229" s="2" t="s">
        <v>67</v>
      </c>
      <c r="P229" s="2" t="s">
        <v>74</v>
      </c>
      <c r="Q229" s="2" t="s">
        <v>74</v>
      </c>
      <c r="R229" s="2" t="s">
        <v>72</v>
      </c>
      <c r="S229">
        <v>5</v>
      </c>
      <c r="T229">
        <v>7</v>
      </c>
      <c r="U229">
        <v>0</v>
      </c>
      <c r="V229">
        <v>1</v>
      </c>
      <c r="W229">
        <v>4</v>
      </c>
      <c r="X229">
        <v>3</v>
      </c>
      <c r="Y229" s="2" t="s">
        <v>72</v>
      </c>
      <c r="Z229">
        <v>3</v>
      </c>
      <c r="AA229">
        <v>5</v>
      </c>
      <c r="AB229">
        <v>0</v>
      </c>
      <c r="AC229">
        <v>2</v>
      </c>
      <c r="AD229">
        <v>5</v>
      </c>
      <c r="AE229">
        <v>5</v>
      </c>
      <c r="AF229" s="10" t="s">
        <v>297</v>
      </c>
      <c r="AG229" s="4"/>
      <c r="AH229" s="8">
        <v>227</v>
      </c>
      <c r="AI229">
        <v>0</v>
      </c>
      <c r="AJ229">
        <v>0</v>
      </c>
      <c r="AK229" s="8" t="s">
        <v>315</v>
      </c>
      <c r="AL229" t="s">
        <v>316</v>
      </c>
      <c r="AM229" t="str">
        <f t="shared" si="61"/>
        <v>Honest</v>
      </c>
      <c r="AN229" s="4"/>
      <c r="AO229">
        <f t="shared" si="48"/>
        <v>2</v>
      </c>
      <c r="AP229">
        <f t="shared" si="49"/>
        <v>2</v>
      </c>
      <c r="AQ229">
        <f t="shared" si="50"/>
        <v>2</v>
      </c>
      <c r="AR229">
        <f t="shared" si="51"/>
        <v>6</v>
      </c>
      <c r="AS229">
        <f t="shared" si="62"/>
        <v>2</v>
      </c>
      <c r="AT229">
        <f t="shared" si="52"/>
        <v>3</v>
      </c>
      <c r="AU229">
        <f t="shared" si="53"/>
        <v>3</v>
      </c>
      <c r="AV229" s="19">
        <f t="shared" si="63"/>
        <v>2.3333333333333335</v>
      </c>
      <c r="AW229" s="4"/>
      <c r="AY229">
        <v>3</v>
      </c>
      <c r="AZ229">
        <v>4</v>
      </c>
      <c r="BA229">
        <v>4</v>
      </c>
      <c r="BB229">
        <v>1</v>
      </c>
      <c r="BC229">
        <v>2</v>
      </c>
      <c r="BD229">
        <v>6</v>
      </c>
      <c r="BE229">
        <f t="shared" si="54"/>
        <v>14</v>
      </c>
      <c r="BF229">
        <f t="shared" si="55"/>
        <v>0</v>
      </c>
      <c r="BG229">
        <f t="shared" si="56"/>
        <v>14</v>
      </c>
      <c r="BI229">
        <v>3</v>
      </c>
      <c r="BJ229">
        <v>4</v>
      </c>
      <c r="BK229">
        <v>4</v>
      </c>
      <c r="BL229">
        <v>1</v>
      </c>
      <c r="BM229">
        <v>2</v>
      </c>
      <c r="BN229">
        <v>6</v>
      </c>
      <c r="BO229">
        <f t="shared" si="57"/>
        <v>10</v>
      </c>
      <c r="BP229">
        <f t="shared" si="58"/>
        <v>1</v>
      </c>
      <c r="BQ229">
        <f t="shared" si="59"/>
        <v>11</v>
      </c>
      <c r="BR229">
        <f t="shared" si="60"/>
        <v>25</v>
      </c>
    </row>
    <row r="230" spans="1:70" ht="45" x14ac:dyDescent="0.25">
      <c r="A230" s="2" t="s">
        <v>33</v>
      </c>
      <c r="B230">
        <v>100</v>
      </c>
      <c r="C230">
        <v>649</v>
      </c>
      <c r="D230" s="2" t="s">
        <v>62</v>
      </c>
      <c r="E230" s="1">
        <v>44623.146280937501</v>
      </c>
      <c r="F230" s="2" t="s">
        <v>63</v>
      </c>
      <c r="G230" s="2" t="s">
        <v>63</v>
      </c>
      <c r="H230" s="2" t="s">
        <v>63</v>
      </c>
      <c r="I230" s="2" t="s">
        <v>63</v>
      </c>
      <c r="J230" s="2" t="s">
        <v>64</v>
      </c>
      <c r="K230" s="2" t="s">
        <v>65</v>
      </c>
      <c r="L230" s="2" t="s">
        <v>81</v>
      </c>
      <c r="M230" s="2" t="s">
        <v>81</v>
      </c>
      <c r="N230" s="2" t="s">
        <v>81</v>
      </c>
      <c r="O230" s="2" t="s">
        <v>71</v>
      </c>
      <c r="P230" s="2" t="s">
        <v>74</v>
      </c>
      <c r="Q230" s="2" t="s">
        <v>71</v>
      </c>
      <c r="R230" s="2" t="s">
        <v>68</v>
      </c>
      <c r="S230">
        <v>5</v>
      </c>
      <c r="T230">
        <v>2</v>
      </c>
      <c r="U230">
        <v>3</v>
      </c>
      <c r="V230">
        <v>4</v>
      </c>
      <c r="W230">
        <v>2</v>
      </c>
      <c r="X230">
        <v>4</v>
      </c>
      <c r="Y230" s="2" t="s">
        <v>114</v>
      </c>
      <c r="Z230">
        <v>4</v>
      </c>
      <c r="AA230">
        <v>4</v>
      </c>
      <c r="AB230">
        <v>3</v>
      </c>
      <c r="AC230">
        <v>4</v>
      </c>
      <c r="AD230">
        <v>3</v>
      </c>
      <c r="AE230">
        <v>2</v>
      </c>
      <c r="AF230" s="10" t="s">
        <v>298</v>
      </c>
      <c r="AG230" s="4"/>
      <c r="AH230" s="8">
        <v>228</v>
      </c>
      <c r="AI230">
        <v>0</v>
      </c>
      <c r="AJ230">
        <v>0</v>
      </c>
      <c r="AK230" s="8" t="s">
        <v>315</v>
      </c>
      <c r="AL230" t="s">
        <v>316</v>
      </c>
      <c r="AM230" t="str">
        <f t="shared" si="61"/>
        <v>Honest</v>
      </c>
      <c r="AN230" s="4"/>
      <c r="AO230">
        <f t="shared" si="48"/>
        <v>5</v>
      </c>
      <c r="AP230">
        <f t="shared" si="49"/>
        <v>5</v>
      </c>
      <c r="AQ230">
        <f t="shared" si="50"/>
        <v>5</v>
      </c>
      <c r="AR230">
        <f t="shared" si="51"/>
        <v>2</v>
      </c>
      <c r="AS230">
        <f t="shared" si="62"/>
        <v>6</v>
      </c>
      <c r="AT230">
        <f t="shared" si="52"/>
        <v>3</v>
      </c>
      <c r="AU230">
        <f t="shared" si="53"/>
        <v>2</v>
      </c>
      <c r="AV230" s="19">
        <f t="shared" si="63"/>
        <v>4.333333333333333</v>
      </c>
      <c r="AW230" s="4"/>
      <c r="AY230">
        <v>3</v>
      </c>
      <c r="AZ230">
        <v>2</v>
      </c>
      <c r="BA230">
        <v>5</v>
      </c>
      <c r="BB230">
        <v>2</v>
      </c>
      <c r="BC230">
        <v>2</v>
      </c>
      <c r="BD230">
        <v>6</v>
      </c>
      <c r="BE230">
        <f t="shared" si="54"/>
        <v>8</v>
      </c>
      <c r="BF230">
        <f t="shared" si="55"/>
        <v>1</v>
      </c>
      <c r="BG230">
        <f t="shared" si="56"/>
        <v>9</v>
      </c>
      <c r="BI230">
        <v>3</v>
      </c>
      <c r="BJ230">
        <v>2</v>
      </c>
      <c r="BK230">
        <v>5</v>
      </c>
      <c r="BL230">
        <v>2</v>
      </c>
      <c r="BM230">
        <v>2</v>
      </c>
      <c r="BN230">
        <v>6</v>
      </c>
      <c r="BO230">
        <f t="shared" si="57"/>
        <v>12</v>
      </c>
      <c r="BP230">
        <f t="shared" si="58"/>
        <v>1</v>
      </c>
      <c r="BQ230">
        <f t="shared" si="59"/>
        <v>13</v>
      </c>
      <c r="BR230">
        <f t="shared" si="60"/>
        <v>22</v>
      </c>
    </row>
    <row r="231" spans="1:70" ht="45" x14ac:dyDescent="0.25">
      <c r="A231" s="2" t="s">
        <v>33</v>
      </c>
      <c r="B231">
        <v>100</v>
      </c>
      <c r="C231">
        <v>208</v>
      </c>
      <c r="D231" s="2" t="s">
        <v>62</v>
      </c>
      <c r="E231" s="1">
        <v>44623.166268773151</v>
      </c>
      <c r="F231" s="2" t="s">
        <v>63</v>
      </c>
      <c r="G231" s="2" t="s">
        <v>63</v>
      </c>
      <c r="H231" s="2" t="s">
        <v>63</v>
      </c>
      <c r="I231" s="2" t="s">
        <v>63</v>
      </c>
      <c r="J231" s="2" t="s">
        <v>64</v>
      </c>
      <c r="K231" s="2" t="s">
        <v>65</v>
      </c>
      <c r="L231" s="2" t="s">
        <v>71</v>
      </c>
      <c r="M231" s="2" t="s">
        <v>81</v>
      </c>
      <c r="N231" s="2" t="s">
        <v>71</v>
      </c>
      <c r="O231" s="2" t="s">
        <v>74</v>
      </c>
      <c r="P231" s="2" t="s">
        <v>71</v>
      </c>
      <c r="Q231" s="2" t="s">
        <v>71</v>
      </c>
      <c r="R231" s="2" t="s">
        <v>68</v>
      </c>
      <c r="S231">
        <v>3</v>
      </c>
      <c r="T231">
        <v>3</v>
      </c>
      <c r="U231">
        <v>3</v>
      </c>
      <c r="V231">
        <v>4</v>
      </c>
      <c r="W231">
        <v>5</v>
      </c>
      <c r="X231">
        <v>2</v>
      </c>
      <c r="Y231" s="2" t="s">
        <v>68</v>
      </c>
      <c r="Z231">
        <v>2</v>
      </c>
      <c r="AA231">
        <v>4</v>
      </c>
      <c r="AB231">
        <v>4</v>
      </c>
      <c r="AC231">
        <v>5</v>
      </c>
      <c r="AD231">
        <v>3</v>
      </c>
      <c r="AE231">
        <v>2</v>
      </c>
      <c r="AF231" s="10" t="s">
        <v>113</v>
      </c>
      <c r="AG231" s="4"/>
      <c r="AH231" s="8">
        <v>229</v>
      </c>
      <c r="AI231">
        <v>5</v>
      </c>
      <c r="AJ231">
        <v>8</v>
      </c>
      <c r="AK231" s="8" t="s">
        <v>317</v>
      </c>
      <c r="AL231" t="s">
        <v>320</v>
      </c>
      <c r="AM231" t="str">
        <f t="shared" si="61"/>
        <v>Lie</v>
      </c>
      <c r="AN231" s="4"/>
      <c r="AO231">
        <f t="shared" si="48"/>
        <v>2</v>
      </c>
      <c r="AP231">
        <f t="shared" si="49"/>
        <v>5</v>
      </c>
      <c r="AQ231">
        <f t="shared" si="50"/>
        <v>2</v>
      </c>
      <c r="AR231">
        <f t="shared" si="51"/>
        <v>3</v>
      </c>
      <c r="AS231">
        <f t="shared" si="62"/>
        <v>5</v>
      </c>
      <c r="AT231">
        <f t="shared" si="52"/>
        <v>2</v>
      </c>
      <c r="AU231">
        <f t="shared" si="53"/>
        <v>2</v>
      </c>
      <c r="AV231" s="19">
        <f t="shared" si="63"/>
        <v>3</v>
      </c>
      <c r="AW231" s="4"/>
      <c r="AY231">
        <v>2</v>
      </c>
      <c r="AZ231">
        <v>1</v>
      </c>
      <c r="BA231">
        <v>0</v>
      </c>
      <c r="BB231">
        <v>2</v>
      </c>
      <c r="BC231">
        <v>0</v>
      </c>
      <c r="BD231">
        <v>1</v>
      </c>
      <c r="BE231">
        <f t="shared" si="54"/>
        <v>14</v>
      </c>
      <c r="BF231">
        <f t="shared" si="55"/>
        <v>1</v>
      </c>
      <c r="BG231">
        <f t="shared" si="56"/>
        <v>15</v>
      </c>
      <c r="BI231">
        <v>2</v>
      </c>
      <c r="BJ231">
        <v>5</v>
      </c>
      <c r="BK231">
        <v>1</v>
      </c>
      <c r="BL231">
        <v>3</v>
      </c>
      <c r="BM231">
        <v>5</v>
      </c>
      <c r="BN231">
        <v>4</v>
      </c>
      <c r="BO231">
        <f t="shared" si="57"/>
        <v>10</v>
      </c>
      <c r="BP231">
        <f t="shared" si="58"/>
        <v>1</v>
      </c>
      <c r="BQ231">
        <f t="shared" si="59"/>
        <v>11</v>
      </c>
      <c r="BR231">
        <f t="shared" si="60"/>
        <v>26</v>
      </c>
    </row>
    <row r="232" spans="1:70" ht="60" x14ac:dyDescent="0.25">
      <c r="A232" s="2" t="s">
        <v>33</v>
      </c>
      <c r="B232">
        <v>100</v>
      </c>
      <c r="C232">
        <v>497</v>
      </c>
      <c r="D232" s="2" t="s">
        <v>62</v>
      </c>
      <c r="E232" s="1">
        <v>44623.338440891202</v>
      </c>
      <c r="F232" s="2" t="s">
        <v>63</v>
      </c>
      <c r="G232" s="2" t="s">
        <v>63</v>
      </c>
      <c r="H232" s="2" t="s">
        <v>63</v>
      </c>
      <c r="I232" s="2" t="s">
        <v>63</v>
      </c>
      <c r="J232" s="2" t="s">
        <v>64</v>
      </c>
      <c r="K232" s="2" t="s">
        <v>65</v>
      </c>
      <c r="L232" s="2" t="s">
        <v>71</v>
      </c>
      <c r="M232" s="2" t="s">
        <v>66</v>
      </c>
      <c r="N232" s="2" t="s">
        <v>71</v>
      </c>
      <c r="O232" s="2" t="s">
        <v>81</v>
      </c>
      <c r="P232" s="2" t="s">
        <v>74</v>
      </c>
      <c r="Q232" s="2" t="s">
        <v>75</v>
      </c>
      <c r="R232" s="2" t="s">
        <v>72</v>
      </c>
      <c r="S232">
        <v>2</v>
      </c>
      <c r="T232">
        <v>4</v>
      </c>
      <c r="U232">
        <v>4</v>
      </c>
      <c r="V232">
        <v>5</v>
      </c>
      <c r="W232">
        <v>3</v>
      </c>
      <c r="X232">
        <v>2</v>
      </c>
      <c r="Y232" s="2" t="s">
        <v>68</v>
      </c>
      <c r="Z232">
        <v>2</v>
      </c>
      <c r="AA232">
        <v>4</v>
      </c>
      <c r="AB232">
        <v>4</v>
      </c>
      <c r="AC232">
        <v>5</v>
      </c>
      <c r="AD232">
        <v>2</v>
      </c>
      <c r="AE232">
        <v>3</v>
      </c>
      <c r="AF232" s="10" t="s">
        <v>299</v>
      </c>
      <c r="AG232" s="4"/>
      <c r="AH232" s="8">
        <v>230</v>
      </c>
      <c r="AI232">
        <v>0</v>
      </c>
      <c r="AJ232">
        <v>1</v>
      </c>
      <c r="AK232" s="8" t="s">
        <v>315</v>
      </c>
      <c r="AL232" t="s">
        <v>319</v>
      </c>
      <c r="AM232" t="str">
        <f t="shared" si="61"/>
        <v>Lie</v>
      </c>
      <c r="AN232" s="4"/>
      <c r="AO232">
        <f t="shared" si="48"/>
        <v>2</v>
      </c>
      <c r="AP232">
        <f t="shared" si="49"/>
        <v>1</v>
      </c>
      <c r="AQ232">
        <f t="shared" si="50"/>
        <v>2</v>
      </c>
      <c r="AR232">
        <f t="shared" si="51"/>
        <v>5</v>
      </c>
      <c r="AS232">
        <f t="shared" si="62"/>
        <v>3</v>
      </c>
      <c r="AT232">
        <f t="shared" si="52"/>
        <v>3</v>
      </c>
      <c r="AU232">
        <f t="shared" si="53"/>
        <v>4</v>
      </c>
      <c r="AV232" s="19">
        <f t="shared" si="63"/>
        <v>2.5</v>
      </c>
      <c r="AW232" s="4"/>
      <c r="AY232">
        <v>1</v>
      </c>
      <c r="AZ232">
        <v>4</v>
      </c>
      <c r="BA232">
        <v>2</v>
      </c>
      <c r="BB232">
        <v>0</v>
      </c>
      <c r="BC232">
        <v>9</v>
      </c>
      <c r="BD232">
        <v>4</v>
      </c>
      <c r="BE232">
        <f t="shared" si="54"/>
        <v>16</v>
      </c>
      <c r="BF232">
        <f t="shared" si="55"/>
        <v>0</v>
      </c>
      <c r="BG232">
        <f t="shared" si="56"/>
        <v>16</v>
      </c>
      <c r="BI232">
        <v>1</v>
      </c>
      <c r="BJ232">
        <v>3</v>
      </c>
      <c r="BK232">
        <v>2</v>
      </c>
      <c r="BL232">
        <v>0</v>
      </c>
      <c r="BM232">
        <v>10</v>
      </c>
      <c r="BN232">
        <v>4</v>
      </c>
      <c r="BO232">
        <f t="shared" si="57"/>
        <v>18</v>
      </c>
      <c r="BP232">
        <f t="shared" si="58"/>
        <v>1</v>
      </c>
      <c r="BQ232">
        <f t="shared" si="59"/>
        <v>19</v>
      </c>
      <c r="BR232">
        <f t="shared" si="60"/>
        <v>35</v>
      </c>
    </row>
    <row r="233" spans="1:70" ht="60" x14ac:dyDescent="0.25">
      <c r="A233" s="2" t="s">
        <v>33</v>
      </c>
      <c r="B233">
        <v>100</v>
      </c>
      <c r="C233">
        <v>8009</v>
      </c>
      <c r="D233" s="2" t="s">
        <v>62</v>
      </c>
      <c r="E233" s="1">
        <v>44623.535233125003</v>
      </c>
      <c r="F233" s="2" t="s">
        <v>63</v>
      </c>
      <c r="G233" s="2" t="s">
        <v>63</v>
      </c>
      <c r="H233" s="2" t="s">
        <v>63</v>
      </c>
      <c r="I233" s="2" t="s">
        <v>63</v>
      </c>
      <c r="J233" s="2" t="s">
        <v>64</v>
      </c>
      <c r="K233" s="2" t="s">
        <v>65</v>
      </c>
      <c r="L233" s="2" t="s">
        <v>74</v>
      </c>
      <c r="M233" s="2" t="s">
        <v>78</v>
      </c>
      <c r="N233" s="2" t="s">
        <v>74</v>
      </c>
      <c r="O233" s="2" t="s">
        <v>75</v>
      </c>
      <c r="P233" s="2" t="s">
        <v>75</v>
      </c>
      <c r="Q233" s="2" t="s">
        <v>75</v>
      </c>
      <c r="R233" s="2" t="s">
        <v>69</v>
      </c>
      <c r="S233">
        <v>5</v>
      </c>
      <c r="T233">
        <v>2</v>
      </c>
      <c r="U233">
        <v>3</v>
      </c>
      <c r="V233">
        <v>5</v>
      </c>
      <c r="W233">
        <v>3</v>
      </c>
      <c r="X233">
        <v>2</v>
      </c>
      <c r="Y233" s="2" t="s">
        <v>69</v>
      </c>
      <c r="Z233">
        <v>3</v>
      </c>
      <c r="AA233">
        <v>4</v>
      </c>
      <c r="AB233">
        <v>2</v>
      </c>
      <c r="AC233">
        <v>5</v>
      </c>
      <c r="AD233">
        <v>3</v>
      </c>
      <c r="AE233">
        <v>3</v>
      </c>
      <c r="AF233" s="10" t="s">
        <v>300</v>
      </c>
      <c r="AG233" s="4"/>
      <c r="AH233" s="8">
        <v>231</v>
      </c>
      <c r="AI233">
        <v>2</v>
      </c>
      <c r="AJ233">
        <v>0</v>
      </c>
      <c r="AK233" s="8" t="s">
        <v>317</v>
      </c>
      <c r="AL233" t="s">
        <v>318</v>
      </c>
      <c r="AM233" t="str">
        <f t="shared" si="61"/>
        <v>Honest</v>
      </c>
      <c r="AN233" s="4"/>
      <c r="AO233">
        <f t="shared" si="48"/>
        <v>3</v>
      </c>
      <c r="AP233">
        <f t="shared" si="49"/>
        <v>7</v>
      </c>
      <c r="AQ233">
        <f t="shared" si="50"/>
        <v>3</v>
      </c>
      <c r="AR233">
        <f t="shared" si="51"/>
        <v>4</v>
      </c>
      <c r="AS233">
        <f t="shared" si="62"/>
        <v>4</v>
      </c>
      <c r="AT233">
        <f t="shared" si="52"/>
        <v>4</v>
      </c>
      <c r="AU233">
        <f t="shared" si="53"/>
        <v>4</v>
      </c>
      <c r="AV233" s="19">
        <f t="shared" si="63"/>
        <v>4.166666666666667</v>
      </c>
      <c r="AW233" s="4"/>
      <c r="AY233">
        <v>4</v>
      </c>
      <c r="AZ233">
        <v>4</v>
      </c>
      <c r="BA233">
        <v>2</v>
      </c>
      <c r="BB233">
        <v>6</v>
      </c>
      <c r="BC233">
        <v>2</v>
      </c>
      <c r="BD233">
        <v>2</v>
      </c>
      <c r="BE233">
        <f t="shared" si="54"/>
        <v>6</v>
      </c>
      <c r="BF233">
        <f t="shared" si="55"/>
        <v>1</v>
      </c>
      <c r="BG233">
        <f t="shared" si="56"/>
        <v>7</v>
      </c>
      <c r="BI233">
        <v>4</v>
      </c>
      <c r="BJ233">
        <v>4</v>
      </c>
      <c r="BK233">
        <v>2</v>
      </c>
      <c r="BL233">
        <v>6</v>
      </c>
      <c r="BM233">
        <v>2</v>
      </c>
      <c r="BN233">
        <v>2</v>
      </c>
      <c r="BO233">
        <f t="shared" si="57"/>
        <v>4</v>
      </c>
      <c r="BP233">
        <f t="shared" si="58"/>
        <v>0</v>
      </c>
      <c r="BQ233">
        <f t="shared" si="59"/>
        <v>4</v>
      </c>
      <c r="BR233">
        <f t="shared" si="60"/>
        <v>11</v>
      </c>
    </row>
    <row r="234" spans="1:70" ht="60" x14ac:dyDescent="0.25">
      <c r="A234" s="2" t="s">
        <v>33</v>
      </c>
      <c r="B234">
        <v>100</v>
      </c>
      <c r="C234">
        <v>435</v>
      </c>
      <c r="D234" s="2" t="s">
        <v>62</v>
      </c>
      <c r="E234" s="1">
        <v>44623.621397986113</v>
      </c>
      <c r="F234" s="2" t="s">
        <v>63</v>
      </c>
      <c r="G234" s="2" t="s">
        <v>63</v>
      </c>
      <c r="H234" s="2" t="s">
        <v>63</v>
      </c>
      <c r="I234" s="2" t="s">
        <v>63</v>
      </c>
      <c r="J234" s="2" t="s">
        <v>64</v>
      </c>
      <c r="K234" s="2" t="s">
        <v>65</v>
      </c>
      <c r="L234" s="2" t="s">
        <v>71</v>
      </c>
      <c r="M234" s="2" t="s">
        <v>75</v>
      </c>
      <c r="N234" s="2" t="s">
        <v>71</v>
      </c>
      <c r="O234" s="2" t="s">
        <v>81</v>
      </c>
      <c r="P234" s="2" t="s">
        <v>75</v>
      </c>
      <c r="Q234" s="2" t="s">
        <v>81</v>
      </c>
      <c r="R234" s="2" t="s">
        <v>72</v>
      </c>
      <c r="S234">
        <v>2</v>
      </c>
      <c r="T234">
        <v>2</v>
      </c>
      <c r="U234">
        <v>4</v>
      </c>
      <c r="V234">
        <v>3</v>
      </c>
      <c r="W234">
        <v>7</v>
      </c>
      <c r="X234">
        <v>2</v>
      </c>
      <c r="Y234" s="2" t="s">
        <v>72</v>
      </c>
      <c r="Z234">
        <v>2</v>
      </c>
      <c r="AA234">
        <v>2</v>
      </c>
      <c r="AB234">
        <v>3</v>
      </c>
      <c r="AC234">
        <v>4</v>
      </c>
      <c r="AD234">
        <v>7</v>
      </c>
      <c r="AE234">
        <v>2</v>
      </c>
      <c r="AF234" s="10" t="s">
        <v>152</v>
      </c>
      <c r="AG234" s="4"/>
      <c r="AH234" s="8">
        <v>232</v>
      </c>
      <c r="AI234">
        <v>0</v>
      </c>
      <c r="AJ234">
        <v>0</v>
      </c>
      <c r="AK234" s="8" t="s">
        <v>315</v>
      </c>
      <c r="AL234" t="s">
        <v>316</v>
      </c>
      <c r="AM234" t="str">
        <f t="shared" si="61"/>
        <v>Honest</v>
      </c>
      <c r="AN234" s="4"/>
      <c r="AO234">
        <f t="shared" si="48"/>
        <v>2</v>
      </c>
      <c r="AP234">
        <f t="shared" si="49"/>
        <v>4</v>
      </c>
      <c r="AQ234">
        <f t="shared" si="50"/>
        <v>2</v>
      </c>
      <c r="AR234">
        <f t="shared" si="51"/>
        <v>5</v>
      </c>
      <c r="AS234">
        <f t="shared" si="62"/>
        <v>3</v>
      </c>
      <c r="AT234">
        <f t="shared" si="52"/>
        <v>4</v>
      </c>
      <c r="AU234">
        <f t="shared" si="53"/>
        <v>5</v>
      </c>
      <c r="AV234" s="19">
        <f t="shared" si="63"/>
        <v>3.3333333333333335</v>
      </c>
      <c r="AW234" s="4"/>
      <c r="AY234">
        <v>2</v>
      </c>
      <c r="AZ234">
        <v>2</v>
      </c>
      <c r="BA234">
        <v>3</v>
      </c>
      <c r="BB234">
        <v>3</v>
      </c>
      <c r="BC234">
        <v>8</v>
      </c>
      <c r="BD234">
        <v>2</v>
      </c>
      <c r="BE234">
        <f t="shared" si="54"/>
        <v>2</v>
      </c>
      <c r="BF234">
        <f t="shared" si="55"/>
        <v>0</v>
      </c>
      <c r="BG234">
        <f t="shared" si="56"/>
        <v>2</v>
      </c>
      <c r="BI234">
        <v>2</v>
      </c>
      <c r="BJ234">
        <v>2</v>
      </c>
      <c r="BK234">
        <v>3</v>
      </c>
      <c r="BL234">
        <v>3</v>
      </c>
      <c r="BM234">
        <v>8</v>
      </c>
      <c r="BN234">
        <v>2</v>
      </c>
      <c r="BO234">
        <f t="shared" si="57"/>
        <v>2</v>
      </c>
      <c r="BP234">
        <f t="shared" si="58"/>
        <v>1</v>
      </c>
      <c r="BQ234">
        <f t="shared" si="59"/>
        <v>3</v>
      </c>
      <c r="BR234">
        <f t="shared" si="60"/>
        <v>5</v>
      </c>
    </row>
    <row r="235" spans="1:70" ht="30" x14ac:dyDescent="0.25">
      <c r="A235" s="2" t="s">
        <v>33</v>
      </c>
      <c r="B235">
        <v>100</v>
      </c>
      <c r="C235">
        <v>339</v>
      </c>
      <c r="D235" s="2" t="s">
        <v>62</v>
      </c>
      <c r="E235" s="1">
        <v>44624.483434490743</v>
      </c>
      <c r="F235" s="2" t="s">
        <v>63</v>
      </c>
      <c r="G235" s="2" t="s">
        <v>63</v>
      </c>
      <c r="H235" s="2" t="s">
        <v>63</v>
      </c>
      <c r="I235" s="2" t="s">
        <v>63</v>
      </c>
      <c r="J235" s="2" t="s">
        <v>64</v>
      </c>
      <c r="K235" s="2" t="s">
        <v>65</v>
      </c>
      <c r="L235" s="2" t="s">
        <v>66</v>
      </c>
      <c r="M235" s="2" t="s">
        <v>71</v>
      </c>
      <c r="N235" s="2" t="s">
        <v>71</v>
      </c>
      <c r="O235" s="2" t="s">
        <v>67</v>
      </c>
      <c r="P235" s="2" t="s">
        <v>74</v>
      </c>
      <c r="Q235" s="2" t="s">
        <v>71</v>
      </c>
      <c r="R235" s="2" t="s">
        <v>72</v>
      </c>
      <c r="S235">
        <v>2</v>
      </c>
      <c r="T235">
        <v>3</v>
      </c>
      <c r="U235">
        <v>2</v>
      </c>
      <c r="V235">
        <v>4</v>
      </c>
      <c r="W235">
        <v>5</v>
      </c>
      <c r="X235">
        <v>4</v>
      </c>
      <c r="Y235" s="2" t="s">
        <v>72</v>
      </c>
      <c r="Z235">
        <v>4</v>
      </c>
      <c r="AA235">
        <v>2</v>
      </c>
      <c r="AB235">
        <v>3</v>
      </c>
      <c r="AC235">
        <v>3</v>
      </c>
      <c r="AD235">
        <v>4</v>
      </c>
      <c r="AE235">
        <v>4</v>
      </c>
      <c r="AF235" s="10" t="s">
        <v>301</v>
      </c>
      <c r="AG235" s="4"/>
      <c r="AH235" s="8">
        <v>233</v>
      </c>
      <c r="AI235">
        <v>1</v>
      </c>
      <c r="AJ235">
        <v>4</v>
      </c>
      <c r="AK235" s="8" t="s">
        <v>317</v>
      </c>
      <c r="AL235" t="s">
        <v>320</v>
      </c>
      <c r="AM235" t="str">
        <f t="shared" si="61"/>
        <v>Lie</v>
      </c>
      <c r="AN235" s="4"/>
      <c r="AO235">
        <f t="shared" si="48"/>
        <v>1</v>
      </c>
      <c r="AP235">
        <f t="shared" si="49"/>
        <v>2</v>
      </c>
      <c r="AQ235">
        <f t="shared" si="50"/>
        <v>2</v>
      </c>
      <c r="AR235">
        <f t="shared" si="51"/>
        <v>6</v>
      </c>
      <c r="AS235">
        <f t="shared" si="62"/>
        <v>2</v>
      </c>
      <c r="AT235">
        <f t="shared" si="52"/>
        <v>3</v>
      </c>
      <c r="AU235">
        <f t="shared" si="53"/>
        <v>2</v>
      </c>
      <c r="AV235" s="19">
        <f t="shared" si="63"/>
        <v>2</v>
      </c>
      <c r="AW235" s="4"/>
      <c r="AY235">
        <v>4</v>
      </c>
      <c r="AZ235">
        <v>3</v>
      </c>
      <c r="BA235">
        <v>1</v>
      </c>
      <c r="BB235">
        <v>3</v>
      </c>
      <c r="BC235">
        <v>6</v>
      </c>
      <c r="BD235">
        <v>3</v>
      </c>
      <c r="BE235">
        <f t="shared" si="54"/>
        <v>6</v>
      </c>
      <c r="BF235">
        <f t="shared" si="55"/>
        <v>0</v>
      </c>
      <c r="BG235">
        <f t="shared" si="56"/>
        <v>6</v>
      </c>
      <c r="BI235">
        <v>3</v>
      </c>
      <c r="BJ235">
        <v>4</v>
      </c>
      <c r="BK235">
        <v>1</v>
      </c>
      <c r="BL235">
        <v>3</v>
      </c>
      <c r="BM235">
        <v>5</v>
      </c>
      <c r="BN235">
        <v>4</v>
      </c>
      <c r="BO235">
        <f t="shared" si="57"/>
        <v>6</v>
      </c>
      <c r="BP235">
        <f t="shared" si="58"/>
        <v>1</v>
      </c>
      <c r="BQ235">
        <f t="shared" si="59"/>
        <v>7</v>
      </c>
      <c r="BR235">
        <f t="shared" si="60"/>
        <v>13</v>
      </c>
    </row>
    <row r="236" spans="1:70" ht="45" x14ac:dyDescent="0.25">
      <c r="A236" s="2" t="s">
        <v>33</v>
      </c>
      <c r="B236">
        <v>100</v>
      </c>
      <c r="C236">
        <v>213</v>
      </c>
      <c r="D236" s="2" t="s">
        <v>62</v>
      </c>
      <c r="E236" s="1">
        <v>44624.569368969911</v>
      </c>
      <c r="F236" s="2" t="s">
        <v>63</v>
      </c>
      <c r="G236" s="2" t="s">
        <v>63</v>
      </c>
      <c r="H236" s="2" t="s">
        <v>63</v>
      </c>
      <c r="I236" s="2" t="s">
        <v>63</v>
      </c>
      <c r="J236" s="2" t="s">
        <v>64</v>
      </c>
      <c r="K236" s="2" t="s">
        <v>65</v>
      </c>
      <c r="L236" s="2" t="s">
        <v>78</v>
      </c>
      <c r="M236" s="2" t="s">
        <v>67</v>
      </c>
      <c r="N236" s="2" t="s">
        <v>78</v>
      </c>
      <c r="O236" s="2" t="s">
        <v>67</v>
      </c>
      <c r="P236" s="2" t="s">
        <v>67</v>
      </c>
      <c r="Q236" s="2" t="s">
        <v>81</v>
      </c>
      <c r="R236" s="2" t="s">
        <v>72</v>
      </c>
      <c r="S236">
        <v>3</v>
      </c>
      <c r="T236">
        <v>3</v>
      </c>
      <c r="U236">
        <v>4</v>
      </c>
      <c r="V236">
        <v>4</v>
      </c>
      <c r="W236">
        <v>4</v>
      </c>
      <c r="X236">
        <v>2</v>
      </c>
      <c r="Y236" s="2" t="s">
        <v>69</v>
      </c>
      <c r="Z236">
        <v>2</v>
      </c>
      <c r="AA236">
        <v>3</v>
      </c>
      <c r="AB236">
        <v>4</v>
      </c>
      <c r="AC236">
        <v>4</v>
      </c>
      <c r="AD236">
        <v>4</v>
      </c>
      <c r="AE236">
        <v>3</v>
      </c>
      <c r="AF236" s="10" t="s">
        <v>302</v>
      </c>
      <c r="AG236" s="4"/>
      <c r="AH236" s="8">
        <v>234</v>
      </c>
      <c r="AI236">
        <v>0</v>
      </c>
      <c r="AJ236">
        <v>0</v>
      </c>
      <c r="AK236" s="8" t="s">
        <v>317</v>
      </c>
      <c r="AL236" t="s">
        <v>318</v>
      </c>
      <c r="AM236" t="str">
        <f t="shared" si="61"/>
        <v>Honest</v>
      </c>
      <c r="AN236" s="4"/>
      <c r="AO236">
        <f t="shared" si="48"/>
        <v>7</v>
      </c>
      <c r="AP236">
        <f t="shared" si="49"/>
        <v>6</v>
      </c>
      <c r="AQ236">
        <f t="shared" si="50"/>
        <v>7</v>
      </c>
      <c r="AR236">
        <f t="shared" si="51"/>
        <v>6</v>
      </c>
      <c r="AS236">
        <f t="shared" si="62"/>
        <v>2</v>
      </c>
      <c r="AT236">
        <f t="shared" si="52"/>
        <v>6</v>
      </c>
      <c r="AU236">
        <f t="shared" si="53"/>
        <v>5</v>
      </c>
      <c r="AV236" s="19">
        <f t="shared" si="63"/>
        <v>5.5</v>
      </c>
      <c r="AW236" s="4"/>
      <c r="AY236">
        <v>3</v>
      </c>
      <c r="AZ236">
        <v>1</v>
      </c>
      <c r="BA236">
        <v>7</v>
      </c>
      <c r="BB236">
        <v>1</v>
      </c>
      <c r="BC236">
        <v>4</v>
      </c>
      <c r="BD236">
        <v>4</v>
      </c>
      <c r="BE236">
        <f t="shared" si="54"/>
        <v>10</v>
      </c>
      <c r="BF236">
        <f t="shared" si="55"/>
        <v>0</v>
      </c>
      <c r="BG236">
        <f t="shared" si="56"/>
        <v>10</v>
      </c>
      <c r="BI236">
        <v>3</v>
      </c>
      <c r="BJ236">
        <v>1</v>
      </c>
      <c r="BK236">
        <v>7</v>
      </c>
      <c r="BL236">
        <v>1</v>
      </c>
      <c r="BM236">
        <v>4</v>
      </c>
      <c r="BN236">
        <v>4</v>
      </c>
      <c r="BO236">
        <f t="shared" si="57"/>
        <v>10</v>
      </c>
      <c r="BP236">
        <f t="shared" si="58"/>
        <v>0</v>
      </c>
      <c r="BQ236">
        <f t="shared" si="59"/>
        <v>10</v>
      </c>
      <c r="BR236">
        <f t="shared" si="60"/>
        <v>20</v>
      </c>
    </row>
    <row r="237" spans="1:70" ht="30" x14ac:dyDescent="0.25">
      <c r="A237" s="2" t="s">
        <v>33</v>
      </c>
      <c r="B237">
        <v>100</v>
      </c>
      <c r="C237">
        <v>225</v>
      </c>
      <c r="D237" s="2" t="s">
        <v>62</v>
      </c>
      <c r="E237" s="1">
        <v>44624.579783240741</v>
      </c>
      <c r="F237" s="2" t="s">
        <v>63</v>
      </c>
      <c r="G237" s="2" t="s">
        <v>63</v>
      </c>
      <c r="H237" s="2" t="s">
        <v>63</v>
      </c>
      <c r="I237" s="2" t="s">
        <v>63</v>
      </c>
      <c r="J237" s="2" t="s">
        <v>64</v>
      </c>
      <c r="K237" s="2" t="s">
        <v>65</v>
      </c>
      <c r="L237" s="2" t="s">
        <v>71</v>
      </c>
      <c r="M237" s="2" t="s">
        <v>71</v>
      </c>
      <c r="N237" s="2" t="s">
        <v>71</v>
      </c>
      <c r="O237" s="2" t="s">
        <v>67</v>
      </c>
      <c r="P237" s="2" t="s">
        <v>71</v>
      </c>
      <c r="Q237" s="2" t="s">
        <v>74</v>
      </c>
      <c r="R237" s="2" t="s">
        <v>114</v>
      </c>
      <c r="S237">
        <v>1</v>
      </c>
      <c r="T237">
        <v>2</v>
      </c>
      <c r="U237">
        <v>3</v>
      </c>
      <c r="V237">
        <v>4</v>
      </c>
      <c r="W237">
        <v>5</v>
      </c>
      <c r="X237">
        <v>5</v>
      </c>
      <c r="Y237" s="2" t="s">
        <v>69</v>
      </c>
      <c r="Z237">
        <v>1</v>
      </c>
      <c r="AA237">
        <v>2</v>
      </c>
      <c r="AB237">
        <v>3</v>
      </c>
      <c r="AC237">
        <v>4</v>
      </c>
      <c r="AD237">
        <v>5</v>
      </c>
      <c r="AE237">
        <v>5</v>
      </c>
      <c r="AF237" s="10" t="s">
        <v>303</v>
      </c>
      <c r="AG237" s="4"/>
      <c r="AH237" s="8">
        <v>235</v>
      </c>
      <c r="AI237">
        <v>2</v>
      </c>
      <c r="AJ237">
        <v>4</v>
      </c>
      <c r="AK237" s="8" t="s">
        <v>315</v>
      </c>
      <c r="AL237" t="s">
        <v>319</v>
      </c>
      <c r="AM237" t="str">
        <f t="shared" si="61"/>
        <v>Lie</v>
      </c>
      <c r="AN237" s="4"/>
      <c r="AO237">
        <f t="shared" si="48"/>
        <v>2</v>
      </c>
      <c r="AP237">
        <f t="shared" si="49"/>
        <v>2</v>
      </c>
      <c r="AQ237">
        <f t="shared" si="50"/>
        <v>2</v>
      </c>
      <c r="AR237">
        <f t="shared" si="51"/>
        <v>6</v>
      </c>
      <c r="AS237">
        <f t="shared" si="62"/>
        <v>2</v>
      </c>
      <c r="AT237">
        <f t="shared" si="52"/>
        <v>2</v>
      </c>
      <c r="AU237">
        <f t="shared" si="53"/>
        <v>3</v>
      </c>
      <c r="AV237" s="19">
        <f t="shared" si="63"/>
        <v>2.1666666666666665</v>
      </c>
      <c r="AW237" s="4"/>
      <c r="AY237">
        <v>0</v>
      </c>
      <c r="AZ237">
        <v>3</v>
      </c>
      <c r="BA237">
        <v>2</v>
      </c>
      <c r="BB237">
        <v>6</v>
      </c>
      <c r="BC237">
        <v>2</v>
      </c>
      <c r="BD237">
        <v>1</v>
      </c>
      <c r="BE237">
        <f t="shared" si="54"/>
        <v>12</v>
      </c>
      <c r="BF237">
        <f t="shared" si="55"/>
        <v>1</v>
      </c>
      <c r="BG237">
        <f t="shared" si="56"/>
        <v>13</v>
      </c>
      <c r="BI237">
        <v>1</v>
      </c>
      <c r="BJ237">
        <v>5</v>
      </c>
      <c r="BK237">
        <v>3</v>
      </c>
      <c r="BL237">
        <v>7</v>
      </c>
      <c r="BM237">
        <v>3</v>
      </c>
      <c r="BN237">
        <v>1</v>
      </c>
      <c r="BO237">
        <f t="shared" si="57"/>
        <v>12</v>
      </c>
      <c r="BP237">
        <f t="shared" si="58"/>
        <v>0</v>
      </c>
      <c r="BQ237">
        <f t="shared" si="59"/>
        <v>12</v>
      </c>
      <c r="BR237">
        <f t="shared" si="60"/>
        <v>25</v>
      </c>
    </row>
    <row r="238" spans="1:70" ht="30" x14ac:dyDescent="0.25">
      <c r="A238" s="2" t="s">
        <v>33</v>
      </c>
      <c r="B238">
        <v>100</v>
      </c>
      <c r="C238">
        <v>204</v>
      </c>
      <c r="D238" s="2" t="s">
        <v>62</v>
      </c>
      <c r="E238" s="1">
        <v>44625.655919513891</v>
      </c>
      <c r="F238" s="2" t="s">
        <v>63</v>
      </c>
      <c r="G238" s="2" t="s">
        <v>63</v>
      </c>
      <c r="H238" s="2" t="s">
        <v>63</v>
      </c>
      <c r="I238" s="2" t="s">
        <v>63</v>
      </c>
      <c r="J238" s="2" t="s">
        <v>64</v>
      </c>
      <c r="K238" s="2" t="s">
        <v>65</v>
      </c>
      <c r="L238" s="2" t="s">
        <v>74</v>
      </c>
      <c r="M238" s="2" t="s">
        <v>71</v>
      </c>
      <c r="N238" s="2" t="s">
        <v>71</v>
      </c>
      <c r="O238" s="2" t="s">
        <v>74</v>
      </c>
      <c r="P238" s="2" t="s">
        <v>74</v>
      </c>
      <c r="Q238" s="2" t="s">
        <v>71</v>
      </c>
      <c r="R238" s="2" t="s">
        <v>69</v>
      </c>
      <c r="S238">
        <v>2</v>
      </c>
      <c r="T238">
        <v>3</v>
      </c>
      <c r="U238">
        <v>2</v>
      </c>
      <c r="V238">
        <v>2</v>
      </c>
      <c r="W238">
        <v>3</v>
      </c>
      <c r="X238">
        <v>8</v>
      </c>
      <c r="Y238" s="2" t="s">
        <v>69</v>
      </c>
      <c r="Z238">
        <v>3</v>
      </c>
      <c r="AA238">
        <v>2</v>
      </c>
      <c r="AB238">
        <v>2</v>
      </c>
      <c r="AC238">
        <v>3</v>
      </c>
      <c r="AD238">
        <v>4</v>
      </c>
      <c r="AE238">
        <v>6</v>
      </c>
      <c r="AF238" s="10" t="s">
        <v>304</v>
      </c>
      <c r="AG238" s="4"/>
      <c r="AH238" s="8">
        <v>236</v>
      </c>
      <c r="AI238">
        <v>0</v>
      </c>
      <c r="AJ238">
        <v>0</v>
      </c>
      <c r="AK238" s="8" t="s">
        <v>317</v>
      </c>
      <c r="AL238" t="s">
        <v>318</v>
      </c>
      <c r="AM238" t="str">
        <f t="shared" si="61"/>
        <v>Honest</v>
      </c>
      <c r="AN238" s="4"/>
      <c r="AO238">
        <f t="shared" si="48"/>
        <v>3</v>
      </c>
      <c r="AP238">
        <f t="shared" si="49"/>
        <v>2</v>
      </c>
      <c r="AQ238">
        <f t="shared" si="50"/>
        <v>2</v>
      </c>
      <c r="AR238">
        <f t="shared" si="51"/>
        <v>3</v>
      </c>
      <c r="AS238">
        <f t="shared" si="62"/>
        <v>5</v>
      </c>
      <c r="AT238">
        <f t="shared" si="52"/>
        <v>3</v>
      </c>
      <c r="AU238">
        <f t="shared" si="53"/>
        <v>2</v>
      </c>
      <c r="AV238" s="19">
        <f t="shared" si="63"/>
        <v>2.8333333333333335</v>
      </c>
      <c r="AW238" s="4"/>
      <c r="AY238">
        <v>4</v>
      </c>
      <c r="AZ238">
        <v>3</v>
      </c>
      <c r="BA238">
        <v>2</v>
      </c>
      <c r="BB238">
        <v>3</v>
      </c>
      <c r="BC238">
        <v>4</v>
      </c>
      <c r="BD238">
        <v>4</v>
      </c>
      <c r="BE238">
        <f t="shared" si="54"/>
        <v>8</v>
      </c>
      <c r="BF238">
        <f t="shared" si="55"/>
        <v>1</v>
      </c>
      <c r="BG238">
        <f t="shared" si="56"/>
        <v>9</v>
      </c>
      <c r="BI238">
        <v>4</v>
      </c>
      <c r="BJ238">
        <v>3</v>
      </c>
      <c r="BK238">
        <v>2</v>
      </c>
      <c r="BL238">
        <v>3</v>
      </c>
      <c r="BM238">
        <v>4</v>
      </c>
      <c r="BN238">
        <v>4</v>
      </c>
      <c r="BO238">
        <f t="shared" si="57"/>
        <v>4</v>
      </c>
      <c r="BP238">
        <f t="shared" si="58"/>
        <v>0</v>
      </c>
      <c r="BQ238">
        <f t="shared" si="59"/>
        <v>4</v>
      </c>
      <c r="BR238">
        <f t="shared" si="60"/>
        <v>13</v>
      </c>
    </row>
    <row r="239" spans="1:70" ht="30" x14ac:dyDescent="0.25">
      <c r="A239" s="2" t="s">
        <v>33</v>
      </c>
      <c r="B239">
        <v>100</v>
      </c>
      <c r="C239">
        <v>227</v>
      </c>
      <c r="D239" s="2" t="s">
        <v>62</v>
      </c>
      <c r="E239" s="1">
        <v>44626.4716162037</v>
      </c>
      <c r="F239" s="2" t="s">
        <v>63</v>
      </c>
      <c r="G239" s="2" t="s">
        <v>63</v>
      </c>
      <c r="H239" s="2" t="s">
        <v>63</v>
      </c>
      <c r="I239" s="2" t="s">
        <v>63</v>
      </c>
      <c r="J239" s="2" t="s">
        <v>64</v>
      </c>
      <c r="K239" s="2" t="s">
        <v>65</v>
      </c>
      <c r="L239" s="2" t="s">
        <v>71</v>
      </c>
      <c r="M239" s="2" t="s">
        <v>78</v>
      </c>
      <c r="N239" s="2" t="s">
        <v>66</v>
      </c>
      <c r="O239" s="2" t="s">
        <v>67</v>
      </c>
      <c r="P239" s="2" t="s">
        <v>78</v>
      </c>
      <c r="Q239" s="2" t="s">
        <v>71</v>
      </c>
      <c r="R239" s="2" t="s">
        <v>72</v>
      </c>
      <c r="S239">
        <v>2</v>
      </c>
      <c r="T239">
        <v>4</v>
      </c>
      <c r="U239">
        <v>4</v>
      </c>
      <c r="V239">
        <v>2</v>
      </c>
      <c r="W239">
        <v>5</v>
      </c>
      <c r="X239">
        <v>3</v>
      </c>
      <c r="Y239" s="2" t="s">
        <v>72</v>
      </c>
      <c r="Z239">
        <v>3</v>
      </c>
      <c r="AA239">
        <v>3</v>
      </c>
      <c r="AB239">
        <v>4</v>
      </c>
      <c r="AC239">
        <v>3</v>
      </c>
      <c r="AD239">
        <v>4</v>
      </c>
      <c r="AE239">
        <v>3</v>
      </c>
      <c r="AF239" s="10" t="s">
        <v>305</v>
      </c>
      <c r="AG239" s="4"/>
      <c r="AH239" s="8">
        <v>237</v>
      </c>
      <c r="AI239">
        <v>0</v>
      </c>
      <c r="AJ239">
        <v>0</v>
      </c>
      <c r="AK239" s="8" t="s">
        <v>315</v>
      </c>
      <c r="AL239" t="s">
        <v>316</v>
      </c>
      <c r="AM239" t="str">
        <f t="shared" si="61"/>
        <v>Honest</v>
      </c>
      <c r="AN239" s="4"/>
      <c r="AO239">
        <f t="shared" si="48"/>
        <v>2</v>
      </c>
      <c r="AP239">
        <f t="shared" si="49"/>
        <v>7</v>
      </c>
      <c r="AQ239">
        <f t="shared" si="50"/>
        <v>1</v>
      </c>
      <c r="AR239">
        <f t="shared" si="51"/>
        <v>6</v>
      </c>
      <c r="AS239">
        <f t="shared" si="62"/>
        <v>2</v>
      </c>
      <c r="AT239">
        <f t="shared" si="52"/>
        <v>7</v>
      </c>
      <c r="AU239">
        <f t="shared" si="53"/>
        <v>2</v>
      </c>
      <c r="AV239" s="19">
        <f t="shared" si="63"/>
        <v>3.5</v>
      </c>
      <c r="AW239" s="4"/>
      <c r="AY239">
        <v>2</v>
      </c>
      <c r="AZ239">
        <v>4</v>
      </c>
      <c r="BA239">
        <v>3</v>
      </c>
      <c r="BB239">
        <v>4</v>
      </c>
      <c r="BC239">
        <v>4</v>
      </c>
      <c r="BD239">
        <v>3</v>
      </c>
      <c r="BE239">
        <f t="shared" si="54"/>
        <v>4</v>
      </c>
      <c r="BF239">
        <f t="shared" si="55"/>
        <v>0</v>
      </c>
      <c r="BG239">
        <f t="shared" si="56"/>
        <v>4</v>
      </c>
      <c r="BI239">
        <v>3</v>
      </c>
      <c r="BJ239">
        <v>3</v>
      </c>
      <c r="BK239">
        <v>3</v>
      </c>
      <c r="BL239">
        <v>4</v>
      </c>
      <c r="BM239">
        <v>4</v>
      </c>
      <c r="BN239">
        <v>3</v>
      </c>
      <c r="BO239">
        <f t="shared" si="57"/>
        <v>2</v>
      </c>
      <c r="BP239">
        <f t="shared" si="58"/>
        <v>1</v>
      </c>
      <c r="BQ239">
        <f t="shared" si="59"/>
        <v>3</v>
      </c>
      <c r="BR239">
        <f t="shared" si="60"/>
        <v>7</v>
      </c>
    </row>
    <row r="240" spans="1:70" ht="30" x14ac:dyDescent="0.25">
      <c r="A240" s="2" t="s">
        <v>33</v>
      </c>
      <c r="B240">
        <v>100</v>
      </c>
      <c r="C240">
        <v>1144</v>
      </c>
      <c r="D240" s="2" t="s">
        <v>62</v>
      </c>
      <c r="E240" s="1">
        <v>44627.45816584491</v>
      </c>
      <c r="F240" s="2" t="s">
        <v>63</v>
      </c>
      <c r="G240" s="2" t="s">
        <v>63</v>
      </c>
      <c r="H240" s="2" t="s">
        <v>63</v>
      </c>
      <c r="I240" s="2" t="s">
        <v>63</v>
      </c>
      <c r="J240" s="2" t="s">
        <v>64</v>
      </c>
      <c r="K240" s="2" t="s">
        <v>65</v>
      </c>
      <c r="L240" s="2" t="s">
        <v>66</v>
      </c>
      <c r="M240" s="2" t="s">
        <v>74</v>
      </c>
      <c r="N240" s="2" t="s">
        <v>66</v>
      </c>
      <c r="O240" s="2" t="s">
        <v>78</v>
      </c>
      <c r="P240" s="2" t="s">
        <v>74</v>
      </c>
      <c r="Q240" s="2" t="s">
        <v>74</v>
      </c>
      <c r="R240" s="2" t="s">
        <v>72</v>
      </c>
      <c r="S240">
        <v>3</v>
      </c>
      <c r="T240">
        <v>3</v>
      </c>
      <c r="U240">
        <v>4</v>
      </c>
      <c r="V240">
        <v>4</v>
      </c>
      <c r="W240">
        <v>4</v>
      </c>
      <c r="X240">
        <v>2</v>
      </c>
      <c r="Y240" s="2" t="s">
        <v>72</v>
      </c>
      <c r="Z240">
        <v>3</v>
      </c>
      <c r="AA240">
        <v>3</v>
      </c>
      <c r="AB240">
        <v>4</v>
      </c>
      <c r="AC240">
        <v>4</v>
      </c>
      <c r="AD240">
        <v>4</v>
      </c>
      <c r="AE240">
        <v>2</v>
      </c>
      <c r="AF240" s="10" t="s">
        <v>306</v>
      </c>
      <c r="AG240" s="4"/>
      <c r="AH240" s="8">
        <v>238</v>
      </c>
      <c r="AI240">
        <v>0</v>
      </c>
      <c r="AJ240">
        <v>0</v>
      </c>
      <c r="AK240" s="8" t="s">
        <v>317</v>
      </c>
      <c r="AL240" t="s">
        <v>318</v>
      </c>
      <c r="AM240" t="str">
        <f t="shared" si="61"/>
        <v>Honest</v>
      </c>
      <c r="AN240" s="4"/>
      <c r="AO240">
        <f t="shared" si="48"/>
        <v>1</v>
      </c>
      <c r="AP240">
        <f t="shared" si="49"/>
        <v>3</v>
      </c>
      <c r="AQ240">
        <f t="shared" si="50"/>
        <v>1</v>
      </c>
      <c r="AR240">
        <f t="shared" si="51"/>
        <v>7</v>
      </c>
      <c r="AS240">
        <f t="shared" si="62"/>
        <v>1</v>
      </c>
      <c r="AT240">
        <f t="shared" si="52"/>
        <v>3</v>
      </c>
      <c r="AU240">
        <f t="shared" si="53"/>
        <v>3</v>
      </c>
      <c r="AV240" s="19">
        <f t="shared" si="63"/>
        <v>2</v>
      </c>
      <c r="AW240" s="4"/>
      <c r="AY240">
        <v>5</v>
      </c>
      <c r="AZ240">
        <v>2</v>
      </c>
      <c r="BA240">
        <v>5</v>
      </c>
      <c r="BB240">
        <v>3</v>
      </c>
      <c r="BC240">
        <v>2</v>
      </c>
      <c r="BD240">
        <v>3</v>
      </c>
      <c r="BE240">
        <f t="shared" si="54"/>
        <v>8</v>
      </c>
      <c r="BF240">
        <f t="shared" si="55"/>
        <v>0</v>
      </c>
      <c r="BG240">
        <f t="shared" si="56"/>
        <v>8</v>
      </c>
      <c r="BI240">
        <v>5</v>
      </c>
      <c r="BJ240">
        <v>2</v>
      </c>
      <c r="BK240">
        <v>5</v>
      </c>
      <c r="BL240">
        <v>3</v>
      </c>
      <c r="BM240">
        <v>2</v>
      </c>
      <c r="BN240">
        <v>3</v>
      </c>
      <c r="BO240">
        <f t="shared" si="57"/>
        <v>8</v>
      </c>
      <c r="BP240">
        <f t="shared" si="58"/>
        <v>1</v>
      </c>
      <c r="BQ240">
        <f t="shared" si="59"/>
        <v>9</v>
      </c>
      <c r="BR240">
        <f t="shared" si="60"/>
        <v>17</v>
      </c>
    </row>
    <row r="241" spans="1:70" s="8" customFormat="1" ht="60" x14ac:dyDescent="0.25">
      <c r="A241" s="16" t="s">
        <v>33</v>
      </c>
      <c r="B241" s="8">
        <v>100</v>
      </c>
      <c r="C241" s="8">
        <v>162</v>
      </c>
      <c r="D241" s="16" t="s">
        <v>62</v>
      </c>
      <c r="E241" s="17">
        <v>44628.513502546295</v>
      </c>
      <c r="F241" s="16" t="s">
        <v>63</v>
      </c>
      <c r="G241" s="16" t="s">
        <v>63</v>
      </c>
      <c r="H241" s="16" t="s">
        <v>63</v>
      </c>
      <c r="I241" s="16" t="s">
        <v>63</v>
      </c>
      <c r="J241" s="16" t="s">
        <v>64</v>
      </c>
      <c r="K241" s="16" t="s">
        <v>65</v>
      </c>
      <c r="L241" s="16" t="s">
        <v>74</v>
      </c>
      <c r="M241" s="16" t="s">
        <v>74</v>
      </c>
      <c r="N241" s="16" t="s">
        <v>71</v>
      </c>
      <c r="O241" s="16" t="s">
        <v>81</v>
      </c>
      <c r="P241" s="16" t="s">
        <v>75</v>
      </c>
      <c r="Q241" s="16" t="s">
        <v>74</v>
      </c>
      <c r="R241" s="16" t="s">
        <v>68</v>
      </c>
      <c r="S241" s="8">
        <v>3</v>
      </c>
      <c r="T241" s="8">
        <v>4</v>
      </c>
      <c r="U241" s="8">
        <v>3</v>
      </c>
      <c r="V241" s="8">
        <v>4</v>
      </c>
      <c r="W241" s="8">
        <v>4</v>
      </c>
      <c r="X241" s="8">
        <v>2</v>
      </c>
      <c r="Y241" s="16" t="s">
        <v>69</v>
      </c>
      <c r="Z241" s="8">
        <v>2</v>
      </c>
      <c r="AA241" s="8">
        <v>4</v>
      </c>
      <c r="AB241" s="8">
        <v>4</v>
      </c>
      <c r="AC241" s="8">
        <v>4</v>
      </c>
      <c r="AD241" s="8">
        <v>4</v>
      </c>
      <c r="AE241" s="8">
        <v>2</v>
      </c>
      <c r="AF241" s="18" t="s">
        <v>152</v>
      </c>
      <c r="AG241" s="4"/>
      <c r="AH241" s="8">
        <v>239</v>
      </c>
      <c r="AI241" s="8">
        <v>0</v>
      </c>
      <c r="AJ241" s="8">
        <v>3</v>
      </c>
      <c r="AK241" s="8" t="s">
        <v>317</v>
      </c>
      <c r="AL241" s="8" t="s">
        <v>320</v>
      </c>
      <c r="AM241" s="8" t="str">
        <f t="shared" si="61"/>
        <v>Lie</v>
      </c>
      <c r="AN241" s="4"/>
      <c r="AO241" s="8">
        <f t="shared" si="48"/>
        <v>3</v>
      </c>
      <c r="AP241" s="8">
        <f t="shared" si="49"/>
        <v>3</v>
      </c>
      <c r="AQ241" s="8">
        <f t="shared" si="50"/>
        <v>2</v>
      </c>
      <c r="AR241" s="8">
        <f t="shared" si="51"/>
        <v>5</v>
      </c>
      <c r="AS241" s="8">
        <f t="shared" si="62"/>
        <v>3</v>
      </c>
      <c r="AT241" s="8">
        <f t="shared" si="52"/>
        <v>4</v>
      </c>
      <c r="AU241" s="8">
        <f t="shared" si="53"/>
        <v>3</v>
      </c>
      <c r="AV241" s="22">
        <f t="shared" si="63"/>
        <v>3</v>
      </c>
      <c r="AW241" s="4"/>
      <c r="AY241" s="8">
        <v>5</v>
      </c>
      <c r="AZ241" s="8">
        <v>4</v>
      </c>
      <c r="BA241" s="8">
        <v>3</v>
      </c>
      <c r="BB241" s="8">
        <v>4</v>
      </c>
      <c r="BC241" s="8">
        <v>2</v>
      </c>
      <c r="BD241" s="8">
        <v>2</v>
      </c>
      <c r="BE241" s="8">
        <f t="shared" si="54"/>
        <v>4</v>
      </c>
      <c r="BF241" s="8">
        <f t="shared" si="55"/>
        <v>1</v>
      </c>
      <c r="BG241" s="8">
        <f t="shared" si="56"/>
        <v>5</v>
      </c>
      <c r="BI241" s="8">
        <v>4</v>
      </c>
      <c r="BJ241" s="8">
        <v>4</v>
      </c>
      <c r="BK241" s="8">
        <v>3</v>
      </c>
      <c r="BL241" s="8">
        <v>4</v>
      </c>
      <c r="BM241" s="8">
        <v>3</v>
      </c>
      <c r="BN241" s="8">
        <v>2</v>
      </c>
      <c r="BO241" s="8">
        <f t="shared" si="57"/>
        <v>4</v>
      </c>
      <c r="BP241" s="8">
        <f t="shared" si="58"/>
        <v>0</v>
      </c>
      <c r="BQ241" s="8">
        <f t="shared" si="59"/>
        <v>4</v>
      </c>
      <c r="BR241" s="8">
        <f t="shared" si="60"/>
        <v>9</v>
      </c>
    </row>
    <row r="242" spans="1:70" ht="60" x14ac:dyDescent="0.25">
      <c r="A242" s="2" t="s">
        <v>33</v>
      </c>
      <c r="B242">
        <v>100</v>
      </c>
      <c r="C242">
        <v>174</v>
      </c>
      <c r="D242" s="2" t="s">
        <v>62</v>
      </c>
      <c r="E242" s="1">
        <v>44629.292597557869</v>
      </c>
      <c r="F242" s="2" t="s">
        <v>63</v>
      </c>
      <c r="G242" s="2" t="s">
        <v>63</v>
      </c>
      <c r="H242" s="2" t="s">
        <v>63</v>
      </c>
      <c r="I242" s="2" t="s">
        <v>63</v>
      </c>
      <c r="J242" s="2" t="s">
        <v>64</v>
      </c>
      <c r="K242" s="2" t="s">
        <v>65</v>
      </c>
      <c r="L242" s="2" t="s">
        <v>75</v>
      </c>
      <c r="M242" s="2" t="s">
        <v>67</v>
      </c>
      <c r="N242" s="2" t="s">
        <v>75</v>
      </c>
      <c r="O242" s="2" t="s">
        <v>74</v>
      </c>
      <c r="P242" s="2" t="s">
        <v>81</v>
      </c>
      <c r="Q242" s="2" t="s">
        <v>81</v>
      </c>
      <c r="R242" s="2" t="s">
        <v>69</v>
      </c>
      <c r="S242">
        <v>3</v>
      </c>
      <c r="T242">
        <v>3</v>
      </c>
      <c r="U242">
        <v>1</v>
      </c>
      <c r="V242">
        <v>5</v>
      </c>
      <c r="W242">
        <v>6</v>
      </c>
      <c r="X242">
        <v>2</v>
      </c>
      <c r="Y242" s="2" t="s">
        <v>72</v>
      </c>
      <c r="Z242">
        <v>3</v>
      </c>
      <c r="AA242">
        <v>3</v>
      </c>
      <c r="AB242">
        <v>3</v>
      </c>
      <c r="AC242">
        <v>5</v>
      </c>
      <c r="AD242">
        <v>5</v>
      </c>
      <c r="AE242">
        <v>1</v>
      </c>
      <c r="AF242" s="10" t="s">
        <v>307</v>
      </c>
      <c r="AG242" s="4"/>
      <c r="AH242" s="8">
        <v>240</v>
      </c>
      <c r="AI242">
        <v>0</v>
      </c>
      <c r="AJ242">
        <v>1</v>
      </c>
      <c r="AK242" s="8" t="s">
        <v>315</v>
      </c>
      <c r="AL242" t="s">
        <v>319</v>
      </c>
      <c r="AM242" t="str">
        <f t="shared" si="61"/>
        <v>Lie</v>
      </c>
      <c r="AN242" s="4"/>
      <c r="AO242">
        <f t="shared" si="48"/>
        <v>4</v>
      </c>
      <c r="AP242">
        <f t="shared" si="49"/>
        <v>6</v>
      </c>
      <c r="AQ242">
        <f t="shared" si="50"/>
        <v>4</v>
      </c>
      <c r="AR242">
        <f t="shared" si="51"/>
        <v>3</v>
      </c>
      <c r="AS242">
        <f t="shared" si="62"/>
        <v>5</v>
      </c>
      <c r="AT242">
        <f t="shared" si="52"/>
        <v>5</v>
      </c>
      <c r="AU242">
        <f t="shared" si="53"/>
        <v>5</v>
      </c>
      <c r="AV242" s="19">
        <f t="shared" si="63"/>
        <v>4.833333333333333</v>
      </c>
      <c r="AW242" s="4"/>
      <c r="AY242">
        <v>1</v>
      </c>
      <c r="AZ242">
        <v>2</v>
      </c>
      <c r="BA242">
        <v>4</v>
      </c>
      <c r="BB242">
        <v>5</v>
      </c>
      <c r="BC242">
        <v>5</v>
      </c>
      <c r="BD242">
        <v>3</v>
      </c>
      <c r="BE242">
        <f t="shared" si="54"/>
        <v>8</v>
      </c>
      <c r="BF242">
        <f t="shared" si="55"/>
        <v>1</v>
      </c>
      <c r="BG242">
        <f t="shared" si="56"/>
        <v>9</v>
      </c>
      <c r="BI242">
        <v>2</v>
      </c>
      <c r="BJ242">
        <v>2</v>
      </c>
      <c r="BK242">
        <v>4</v>
      </c>
      <c r="BL242">
        <v>4</v>
      </c>
      <c r="BM242">
        <v>5</v>
      </c>
      <c r="BN242">
        <v>3</v>
      </c>
      <c r="BO242">
        <f t="shared" si="57"/>
        <v>6</v>
      </c>
      <c r="BP242">
        <f t="shared" si="58"/>
        <v>1</v>
      </c>
      <c r="BQ242">
        <f t="shared" si="59"/>
        <v>7</v>
      </c>
      <c r="BR242">
        <f t="shared" si="60"/>
        <v>16</v>
      </c>
    </row>
    <row r="243" spans="1:70" ht="45" x14ac:dyDescent="0.25">
      <c r="A243" s="2" t="s">
        <v>33</v>
      </c>
      <c r="B243">
        <v>100</v>
      </c>
      <c r="C243">
        <v>314</v>
      </c>
      <c r="D243" s="2" t="s">
        <v>62</v>
      </c>
      <c r="E243" s="1">
        <v>44630.055922094907</v>
      </c>
      <c r="F243" s="2" t="s">
        <v>63</v>
      </c>
      <c r="G243" s="2" t="s">
        <v>63</v>
      </c>
      <c r="H243" s="2" t="s">
        <v>63</v>
      </c>
      <c r="I243" s="2" t="s">
        <v>63</v>
      </c>
      <c r="J243" s="2" t="s">
        <v>64</v>
      </c>
      <c r="K243" s="2" t="s">
        <v>65</v>
      </c>
      <c r="L243" s="2" t="s">
        <v>66</v>
      </c>
      <c r="M243" s="2" t="s">
        <v>71</v>
      </c>
      <c r="N243" s="2" t="s">
        <v>66</v>
      </c>
      <c r="O243" s="2" t="s">
        <v>81</v>
      </c>
      <c r="P243" s="2" t="s">
        <v>71</v>
      </c>
      <c r="Q243" s="2" t="s">
        <v>71</v>
      </c>
      <c r="R243" s="2" t="s">
        <v>68</v>
      </c>
      <c r="S243">
        <v>2</v>
      </c>
      <c r="T243">
        <v>2</v>
      </c>
      <c r="U243">
        <v>5</v>
      </c>
      <c r="V243">
        <v>6</v>
      </c>
      <c r="W243">
        <v>3</v>
      </c>
      <c r="X243">
        <v>2</v>
      </c>
      <c r="Y243" s="2" t="s">
        <v>69</v>
      </c>
      <c r="Z243">
        <v>2</v>
      </c>
      <c r="AA243">
        <v>2</v>
      </c>
      <c r="AB243">
        <v>4</v>
      </c>
      <c r="AC243">
        <v>6</v>
      </c>
      <c r="AD243">
        <v>4</v>
      </c>
      <c r="AE243">
        <v>2</v>
      </c>
      <c r="AF243" s="10" t="s">
        <v>308</v>
      </c>
      <c r="AG243" s="4"/>
      <c r="AH243" s="8">
        <v>241</v>
      </c>
      <c r="AI243">
        <v>2</v>
      </c>
      <c r="AJ243">
        <v>14</v>
      </c>
      <c r="AK243" s="8" t="s">
        <v>315</v>
      </c>
      <c r="AL243" t="s">
        <v>319</v>
      </c>
      <c r="AM243" t="str">
        <f t="shared" si="61"/>
        <v>Lie</v>
      </c>
      <c r="AN243" s="4"/>
      <c r="AO243">
        <f t="shared" si="48"/>
        <v>1</v>
      </c>
      <c r="AP243">
        <f t="shared" si="49"/>
        <v>2</v>
      </c>
      <c r="AQ243">
        <f t="shared" si="50"/>
        <v>1</v>
      </c>
      <c r="AR243">
        <f t="shared" si="51"/>
        <v>5</v>
      </c>
      <c r="AS243">
        <f t="shared" si="62"/>
        <v>3</v>
      </c>
      <c r="AT243">
        <f t="shared" si="52"/>
        <v>2</v>
      </c>
      <c r="AU243">
        <f t="shared" si="53"/>
        <v>2</v>
      </c>
      <c r="AV243" s="19">
        <f t="shared" si="63"/>
        <v>1.8333333333333333</v>
      </c>
      <c r="AW243" s="4"/>
      <c r="AY243">
        <v>4</v>
      </c>
      <c r="AZ243">
        <v>2</v>
      </c>
      <c r="BA243">
        <v>5</v>
      </c>
      <c r="BB243">
        <v>4</v>
      </c>
      <c r="BC243">
        <v>0</v>
      </c>
      <c r="BD243">
        <v>5</v>
      </c>
      <c r="BE243">
        <f t="shared" si="54"/>
        <v>10</v>
      </c>
      <c r="BF243">
        <f t="shared" si="55"/>
        <v>1</v>
      </c>
      <c r="BG243">
        <f t="shared" si="56"/>
        <v>11</v>
      </c>
      <c r="BI243">
        <v>2</v>
      </c>
      <c r="BJ243">
        <v>7</v>
      </c>
      <c r="BK243">
        <v>2</v>
      </c>
      <c r="BL243">
        <v>4</v>
      </c>
      <c r="BM243">
        <v>4</v>
      </c>
      <c r="BN243">
        <v>1</v>
      </c>
      <c r="BO243">
        <f t="shared" si="57"/>
        <v>10</v>
      </c>
      <c r="BP243">
        <f t="shared" si="58"/>
        <v>0</v>
      </c>
      <c r="BQ243">
        <f t="shared" si="59"/>
        <v>10</v>
      </c>
      <c r="BR243">
        <f t="shared" si="60"/>
        <v>21</v>
      </c>
    </row>
    <row r="244" spans="1:70" s="8" customFormat="1" ht="60" x14ac:dyDescent="0.25">
      <c r="A244" s="16" t="s">
        <v>33</v>
      </c>
      <c r="B244" s="8">
        <v>100</v>
      </c>
      <c r="C244" s="8">
        <v>166</v>
      </c>
      <c r="D244" s="16" t="s">
        <v>62</v>
      </c>
      <c r="E244" s="17">
        <v>44630.400063865738</v>
      </c>
      <c r="F244" s="16" t="s">
        <v>63</v>
      </c>
      <c r="G244" s="16" t="s">
        <v>63</v>
      </c>
      <c r="H244" s="16" t="s">
        <v>63</v>
      </c>
      <c r="I244" s="16" t="s">
        <v>63</v>
      </c>
      <c r="J244" s="16" t="s">
        <v>64</v>
      </c>
      <c r="K244" s="16" t="s">
        <v>65</v>
      </c>
      <c r="L244" s="16" t="s">
        <v>74</v>
      </c>
      <c r="M244" s="16" t="s">
        <v>74</v>
      </c>
      <c r="N244" s="16" t="s">
        <v>74</v>
      </c>
      <c r="O244" s="16" t="s">
        <v>75</v>
      </c>
      <c r="P244" s="16" t="s">
        <v>74</v>
      </c>
      <c r="Q244" s="16" t="s">
        <v>74</v>
      </c>
      <c r="R244" s="16" t="s">
        <v>72</v>
      </c>
      <c r="S244" s="8">
        <v>0</v>
      </c>
      <c r="T244" s="8">
        <v>5</v>
      </c>
      <c r="U244" s="8">
        <v>5</v>
      </c>
      <c r="V244" s="8">
        <v>0</v>
      </c>
      <c r="W244" s="8">
        <v>5</v>
      </c>
      <c r="X244" s="8">
        <v>5</v>
      </c>
      <c r="Y244" s="16" t="s">
        <v>69</v>
      </c>
      <c r="Z244" s="8">
        <v>0</v>
      </c>
      <c r="AA244" s="8">
        <v>7</v>
      </c>
      <c r="AB244" s="8">
        <v>5</v>
      </c>
      <c r="AC244" s="8">
        <v>0</v>
      </c>
      <c r="AD244" s="8">
        <v>5</v>
      </c>
      <c r="AE244" s="8">
        <v>3</v>
      </c>
      <c r="AF244" s="18" t="s">
        <v>309</v>
      </c>
      <c r="AG244" s="4"/>
      <c r="AH244" s="8">
        <v>242</v>
      </c>
      <c r="AI244" s="8">
        <v>0</v>
      </c>
      <c r="AJ244" s="8">
        <v>4</v>
      </c>
      <c r="AK244" s="8" t="s">
        <v>317</v>
      </c>
      <c r="AL244" s="8" t="s">
        <v>320</v>
      </c>
      <c r="AM244" s="8" t="str">
        <f t="shared" si="61"/>
        <v>Lie</v>
      </c>
      <c r="AN244" s="4"/>
      <c r="AO244" s="8">
        <f t="shared" si="48"/>
        <v>3</v>
      </c>
      <c r="AP244" s="8">
        <f t="shared" si="49"/>
        <v>3</v>
      </c>
      <c r="AQ244" s="8">
        <f t="shared" si="50"/>
        <v>3</v>
      </c>
      <c r="AR244" s="8">
        <f t="shared" si="51"/>
        <v>4</v>
      </c>
      <c r="AS244" s="8">
        <f t="shared" si="62"/>
        <v>4</v>
      </c>
      <c r="AT244" s="8">
        <f t="shared" si="52"/>
        <v>3</v>
      </c>
      <c r="AU244" s="8">
        <f t="shared" si="53"/>
        <v>3</v>
      </c>
      <c r="AV244" s="22">
        <f t="shared" si="63"/>
        <v>3.1666666666666665</v>
      </c>
      <c r="AW244" s="4"/>
      <c r="AY244" s="8">
        <v>3</v>
      </c>
      <c r="AZ244" s="8">
        <v>2</v>
      </c>
      <c r="BA244" s="8">
        <v>5</v>
      </c>
      <c r="BB244" s="8">
        <v>2</v>
      </c>
      <c r="BC244" s="8">
        <v>2</v>
      </c>
      <c r="BD244" s="8">
        <v>6</v>
      </c>
      <c r="BE244" s="8">
        <f t="shared" si="54"/>
        <v>12</v>
      </c>
      <c r="BF244" s="8">
        <f t="shared" si="55"/>
        <v>0</v>
      </c>
      <c r="BG244" s="8">
        <f t="shared" si="56"/>
        <v>12</v>
      </c>
      <c r="BI244" s="8">
        <v>4</v>
      </c>
      <c r="BJ244" s="8">
        <v>3</v>
      </c>
      <c r="BK244" s="8">
        <v>4</v>
      </c>
      <c r="BL244" s="8">
        <v>2</v>
      </c>
      <c r="BM244" s="8">
        <v>3</v>
      </c>
      <c r="BN244" s="8">
        <v>4</v>
      </c>
      <c r="BO244" s="8">
        <f t="shared" si="57"/>
        <v>14</v>
      </c>
      <c r="BP244" s="8">
        <f t="shared" si="58"/>
        <v>0</v>
      </c>
      <c r="BQ244" s="8">
        <f t="shared" si="59"/>
        <v>14</v>
      </c>
      <c r="BR244" s="8">
        <f t="shared" si="60"/>
        <v>26</v>
      </c>
    </row>
  </sheetData>
  <autoFilter ref="A2:AF245" xr:uid="{00000000-0009-0000-0000-000000000000}"/>
  <sortState ref="A3:BR244">
    <sortCondition ref="AH3:AH244"/>
  </sortState>
  <pageMargins left="0.7" right="0.7" top="0.75" bottom="0.75" header="0.3" footer="0.3"/>
  <pageSetup paperSize="9" orientation="portrait" horizontalDpi="200" verticalDpi="200" r:id="rId1"/>
  <ignoredErrors>
    <ignoredError sqref="A1:A2 D1:D2 F1:F2 G1:G2 H1:H2 I1:I2 J1:J2 K1:K2 L1:L2 M1:M2 N1:N2 O1:O2 P1:P2 Q1:Q2 R1:R2 Y1:Y2 AF1:AF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89B70DD9C08446A8443DF534F7285E" ma:contentTypeVersion="14" ma:contentTypeDescription="Create a new document." ma:contentTypeScope="" ma:versionID="87870689a0418f8822f9141f6fcb4e4a">
  <xsd:schema xmlns:xsd="http://www.w3.org/2001/XMLSchema" xmlns:xs="http://www.w3.org/2001/XMLSchema" xmlns:p="http://schemas.microsoft.com/office/2006/metadata/properties" xmlns:ns3="04677cab-20cd-44d8-974c-14c664890eaa" xmlns:ns4="fd689c1b-2561-4a46-ae04-6449f963ff76" targetNamespace="http://schemas.microsoft.com/office/2006/metadata/properties" ma:root="true" ma:fieldsID="4e7972cbfcacbb0387363eace41edb9a" ns3:_="" ns4:_="">
    <xsd:import namespace="04677cab-20cd-44d8-974c-14c664890eaa"/>
    <xsd:import namespace="fd689c1b-2561-4a46-ae04-6449f963f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677cab-20cd-44d8-974c-14c664890ea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689c1b-2561-4a46-ae04-6449f963f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3E4659-8144-4AD2-986E-D30D05CA33AF}">
  <ds:schemaRefs>
    <ds:schemaRef ds:uri="http://schemas.microsoft.com/sharepoint/v3/contenttype/forms"/>
  </ds:schemaRefs>
</ds:datastoreItem>
</file>

<file path=customXml/itemProps2.xml><?xml version="1.0" encoding="utf-8"?>
<ds:datastoreItem xmlns:ds="http://schemas.openxmlformats.org/officeDocument/2006/customXml" ds:itemID="{712B0F3F-4315-4773-993C-BF851C4F76E2}">
  <ds:schemaRefs>
    <ds:schemaRef ds:uri="http://purl.org/dc/elements/1.1/"/>
    <ds:schemaRef ds:uri="http://purl.org/dc/dcmitype/"/>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fd689c1b-2561-4a46-ae04-6449f963ff76"/>
    <ds:schemaRef ds:uri="04677cab-20cd-44d8-974c-14c664890eaa"/>
    <ds:schemaRef ds:uri="http://www.w3.org/XML/1998/namespace"/>
  </ds:schemaRefs>
</ds:datastoreItem>
</file>

<file path=customXml/itemProps3.xml><?xml version="1.0" encoding="utf-8"?>
<ds:datastoreItem xmlns:ds="http://schemas.openxmlformats.org/officeDocument/2006/customXml" ds:itemID="{FA5B34DE-369D-472D-8F39-D4E2E12048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677cab-20cd-44d8-974c-14c664890eaa"/>
    <ds:schemaRef ds:uri="fd689c1b-2561-4a46-ae04-6449f963f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Riesthuis</cp:lastModifiedBy>
  <dcterms:created xsi:type="dcterms:W3CDTF">2022-03-14T08:17:22Z</dcterms:created>
  <dcterms:modified xsi:type="dcterms:W3CDTF">2022-05-16T05:26:05Z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0x010100AF89B70DD9C08446A8443DF534F7285E</vt:lpwstr>
  </property>
</Properties>
</file>